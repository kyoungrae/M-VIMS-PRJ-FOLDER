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79ca912eb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be0c650afeb54d0e"/>
    <x:sheet xmlns:r="http://schemas.openxmlformats.org/officeDocument/2006/relationships" name="01_테이블변경" sheetId="2" r:id="Rd9366366cc7d4f4a"/>
    <x:sheet xmlns:r="http://schemas.openxmlformats.org/officeDocument/2006/relationships" name="02_컬럼상세" sheetId="3" r:id="R7d7a92ee7050457b"/>
    <x:sheet xmlns:r="http://schemas.openxmlformats.org/officeDocument/2006/relationships" name="03_키_인덱스_FK" sheetId="4" r:id="R02470e032f404b05"/>
    <x:sheet xmlns:r="http://schemas.openxmlformats.org/officeDocument/2006/relationships" name="04_필수확인사항" sheetId="5" r:id="Rc1d7d12a37ae47ff"/>
    <x:sheet xmlns:r="http://schemas.openxmlformats.org/officeDocument/2006/relationships" name="05_작업체크리스트" sheetId="6" r:id="R3ea1688aef35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43D"/>
      <x:name val="Carlito"/>
    </x:font>
    <x:font>
      <x:b/>
      <x:sz val="12"/>
      <x:color rgb="FFFFFFFF"/>
      <x:name val="Carlito"/>
    </x:font>
    <x:font>
      <x:b/>
      <x:sz val="11"/>
      <x:color rgb="FF24343D"/>
      <x:name val="Carlito"/>
    </x:font>
    <x:font>
      <x:b/>
      <x:sz val="15"/>
      <x:color rgb="FF1F6E8C"/>
      <x:name val="Carlito"/>
    </x:font>
    <x:font>
      <x:b/>
      <x:sz val="11"/>
      <x:color rgb="FFFFFFFF"/>
      <x:name val="Carlito"/>
    </x:font>
    <x:font>
      <x:sz val="11"/>
      <x:color rgb="FF24343D"/>
      <x:name val="Carlito"/>
    </x:font>
    <x:font>
      <x:sz val="9"/>
      <x:name val="Carlito"/>
    </x:font>
    <x:font>
      <x:sz val="9"/>
      <x:color rgb="FF2434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8EEF3"/>
      </x:patternFill>
    </x:fill>
    <x:fill>
      <x:patternFill patternType="solid">
        <x:fgColor rgb="FF1F6E8C"/>
      </x:patternFill>
    </x:fill>
    <x:fill>
      <x:patternFill patternType="solid">
        <x:fgColor rgb="FFE9EEF1"/>
      </x:patternFill>
    </x:fill>
    <x:fill>
      <x:patternFill patternType="solid">
        <x:fgColor rgb="FFF4F8FA"/>
      </x:patternFill>
    </x:fill>
  </x:fills>
  <x:borders count="2">
    <x:border/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1F6E8C"/>
      </x:font>
      <x:fill>
        <x:patternFill patternType="solid">
          <x:bgColor rgb="FFD8EEF3"/>
        </x:patternFill>
      </x:fill>
    </x:dxf>
    <x:dxf>
      <x:font>
        <x:b/>
        <x:color rgb="FF8A4F08"/>
      </x:font>
      <x:fill>
        <x:patternFill patternType="solid">
          <x:bgColor rgb="FFFCE8CF"/>
        </x:patternFill>
      </x:fill>
    </x:dxf>
    <x:dxf>
      <x:font>
        <x:b/>
        <x:color rgb="FF755B00"/>
      </x:font>
      <x:fill>
        <x:patternFill patternType="solid">
          <x:bgColor rgb="FFFFF3C4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1F6E8C"/>
      </x:font>
      <x:fill>
        <x:patternFill patternType="solid">
          <x:bgColor rgb="FFD8EEF3"/>
        </x:patternFill>
      </x:fill>
    </x:dxf>
    <x:dxf>
      <x:font>
        <x:b/>
        <x:color rgb="FFFFFFFF"/>
      </x:font>
      <x:fill>
        <x:patternFill patternType="solid">
          <x:bgColor rgb="FFC9362B"/>
        </x:patternFill>
      </x:fill>
    </x:dxf>
    <x:dxf>
      <x:font>
        <x:b/>
        <x:color rgb="FF8A4F08"/>
      </x:font>
      <x:fill>
        <x:patternFill patternType="solid">
          <x:bgColor rgb="FFFCE8CF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22613C"/>
      </x:font>
      <x:fill>
        <x:patternFill patternType="solid">
          <x:bgColor rgb="FFDC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cc594e07e4399" /><Relationship Type="http://schemas.openxmlformats.org/officeDocument/2006/relationships/theme" Target="/xl/theme/theme1.xml" Id="Rdb7605a152784d2f" /><Relationship Type="http://schemas.openxmlformats.org/officeDocument/2006/relationships/sharedStrings" Target="/xl/sharedStrings.xml" Id="R95eb0b5e36a34263" /><Relationship Type="http://schemas.openxmlformats.org/officeDocument/2006/relationships/worksheet" Target="/xl/worksheets/sheet1.xml" Id="Rbe0c650afeb54d0e" /><Relationship Type="http://schemas.openxmlformats.org/officeDocument/2006/relationships/worksheet" Target="/xl/worksheets/sheet2.xml" Id="Rd9366366cc7d4f4a" /><Relationship Type="http://schemas.openxmlformats.org/officeDocument/2006/relationships/worksheet" Target="/xl/worksheets/sheet3.xml" Id="R7d7a92ee7050457b" /><Relationship Type="http://schemas.openxmlformats.org/officeDocument/2006/relationships/worksheet" Target="/xl/worksheets/sheet4.xml" Id="R02470e032f404b05" /><Relationship Type="http://schemas.openxmlformats.org/officeDocument/2006/relationships/worksheet" Target="/xl/worksheets/sheet5.xml" Id="Rc1d7d12a37ae47ff" /><Relationship Type="http://schemas.openxmlformats.org/officeDocument/2006/relationships/worksheet" Target="/xl/worksheets/sheet6.xml" Id="R3ea1688aef354e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e5919d9deb4c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변경 유형별 건수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건수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'00_요약'!$A$17:$A$22</c:f>
              <c:strCache>
                <c:ptCount val="0"/>
              </c:strCache>
            </c:strRef>
          </c:cat>
          <c:val>
            <c:numRef>
              <c:f>'00_요약'!$B$17:$B$22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e5919d9deb4c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Changes" displayName="TableChanges" ref="A4:N26" headerRowCount="1">
  <x:autoFilter ref="A4:N26"/>
  <x:tableColumns count="14">
    <x:tableColumn id="1" name="No"/>
    <x:tableColumn id="2" name="Before 테이블"/>
    <x:tableColumn id="3" name="After 테이블"/>
    <x:tableColumn id="4" name="테이블 상태"/>
    <x:tableColumn id="5" name="Before 설명"/>
    <x:tableColumn id="6" name="After 설명"/>
    <x:tableColumn id="7" name="Before 컬럼수"/>
    <x:tableColumn id="8" name="After 컬럼수"/>
    <x:tableColumn id="9" name="변경 컬럼수"/>
    <x:tableColumn id="10" name="고위험수"/>
    <x:tableColumn id="11" name="필요 작업"/>
    <x:tableColumn id="12" name="우선순위"/>
    <x:tableColumn id="13" name="상태"/>
    <x:tableColumn id="14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ColumnChanges" displayName="ColumnChanges" ref="A4:R229" headerRowCount="1">
  <x:autoFilter ref="A4:R229"/>
  <x:tableColumns count="18">
    <x:tableColumn id="1" name="No"/>
    <x:tableColumn id="2" name="Before 테이블"/>
    <x:tableColumn id="3" name="After 테이블"/>
    <x:tableColumn id="4" name="테이블 상태"/>
    <x:tableColumn id="5" name="Before 컬럼"/>
    <x:tableColumn id="6" name="After 컬럼"/>
    <x:tableColumn id="7" name="변경 유형"/>
    <x:tableColumn id="8" name="매핑 신뢰도"/>
    <x:tableColumn id="9" name="Before 정의"/>
    <x:tableColumn id="10" name="After 정의"/>
    <x:tableColumn id="11" name="정의 차이"/>
    <x:tableColumn id="12" name="Before 설명"/>
    <x:tableColumn id="13" name="After 설명"/>
    <x:tableColumn id="14" name="영향도"/>
    <x:tableColumn id="15" name="필요 작업"/>
    <x:tableColumn id="16" name="상태"/>
    <x:tableColumn id="17" name="담당자"/>
    <x:tableColumn id="1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ConstraintChanges" displayName="ConstraintChanges" ref="A4:O56" headerRowCount="1">
  <x:autoFilter ref="A4:O56"/>
  <x:tableColumns count="15">
    <x:tableColumn id="1" name="No"/>
    <x:tableColumn id="2" name="Before 테이블"/>
    <x:tableColumn id="3" name="After 테이블"/>
    <x:tableColumn id="4" name="종류"/>
    <x:tableColumn id="5" name="Before 이름"/>
    <x:tableColumn id="6" name="After 이름"/>
    <x:tableColumn id="7" name="상태"/>
    <x:tableColumn id="8" name="Before 컬럼"/>
    <x:tableColumn id="9" name="After 컬럼"/>
    <x:tableColumn id="10" name="Before 참조"/>
    <x:tableColumn id="11" name="After 참조"/>
    <x:tableColumn id="12" name="Before DELETE"/>
    <x:tableColumn id="13" name="After DELETE"/>
    <x:tableColumn id="14" name="영향도"/>
    <x:tableColumn id="15" name="확인 작업"/>
  </x:tableColumns>
  <x:tableStyleInfo name="TableStyleMedium2" showRowStripes="1"/>
</x:table>
</file>

<file path=xl/tables/table4.xml><?xml version="1.0" encoding="utf-8"?>
<x:table xmlns:x="http://schemas.openxmlformats.org/spreadsheetml/2006/main" id="4" name="Warnings" displayName="Warnings" ref="A4:F14" headerRowCount="1">
  <x:autoFilter ref="A4:F14"/>
  <x:tableColumns count="6">
    <x:tableColumn id="1" name="우선순위"/>
    <x:tableColumn id="2" name="분류"/>
    <x:tableColumn id="3" name="대상"/>
    <x:tableColumn id="4" name="발견 내용"/>
    <x:tableColumn id="5" name="예상 영향"/>
    <x:tableColumn id="6" name="확인/수정 제안"/>
  </x:tableColumns>
  <x:tableStyleInfo name="TableStyleMedium2" showRowStripes="1"/>
</x:table>
</file>

<file path=xl/tables/table5.xml><?xml version="1.0" encoding="utf-8"?>
<x:table xmlns:x="http://schemas.openxmlformats.org/spreadsheetml/2006/main" id="5" name="MigrationChecklist" displayName="MigrationChecklist" ref="A4:L143" headerRowCount="1">
  <x:autoFilter ref="A4:L143"/>
  <x:tableColumns count="12">
    <x:tableColumn id="1" name="No"/>
    <x:tableColumn id="2" name="우선순위"/>
    <x:tableColumn id="3" name="Before 테이블"/>
    <x:tableColumn id="4" name="After 테이블"/>
    <x:tableColumn id="5" name="Before 컬럼"/>
    <x:tableColumn id="6" name="After 컬럼"/>
    <x:tableColumn id="7" name="변경 유형"/>
    <x:tableColumn id="8" name="작업 내용"/>
    <x:tableColumn id="9" name="상태"/>
    <x:tableColumn id="10" name="담당자"/>
    <x:tableColumn id="11" name="완료일"/>
    <x:tableColumn id="12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3ff3a85bc24f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7378cdd6e0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527c03b23d41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07992bc41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4e2397edb543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794b4b9c5547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7" hidden="0" customWidth="1"/>
    <x:col min="4" max="4" width="34" hidden="0" customWidth="1"/>
    <x:col min="5" max="5" width="19" hidden="0" customWidth="1"/>
    <x:col min="6" max="6" width="11" hidden="0" customWidth="1"/>
    <x:col min="7" max="7" width="20" hidden="0" customWidth="1"/>
    <x:col min="8" max="8" width="11" hidden="0" customWidth="1"/>
  </x:cols>
  <x:sheetData>
    <x:row r="1" ht="34" customHeight="1">
      <x:c r="A1" s="3" t="str">
        <x:v>Before → After DB 스키마 전환 분석</x:v>
      </x:c>
      <x:c r="B1" s="3" t="str">
        <x:v>Before → After DB 스키마 전환 분석</x:v>
      </x:c>
      <x:c r="C1" s="3" t="str">
        <x:v>Before → After DB 스키마 전환 분석</x:v>
      </x:c>
      <x:c r="D1" s="3" t="str">
        <x:v>Before → After DB 스키마 전환 분석</x:v>
      </x:c>
      <x:c r="E1" s="3" t="str">
        <x:v>Before → After DB 스키마 전환 분석</x:v>
      </x:c>
      <x:c r="F1" s="3" t="str">
        <x:v>Before → After DB 스키마 전환 분석</x:v>
      </x:c>
      <x:c r="G1" s="3" t="str">
        <x:v>Before → After DB 스키마 전환 분석</x:v>
      </x:c>
      <x:c r="H1" s="3" t="str">
        <x:v>Before → After DB 스키마 전환 분석</x:v>
      </x:c>
      <x:c r="I1" s="3" t="str">
        <x:v>Before → After DB 스키마 전환 분석</x:v>
      </x:c>
      <x:c r="J1" s="3" t="str">
        <x:v>Before → After DB 스키마 전환 분석</x:v>
      </x:c>
      <x:c r="K1" s="3" t="str">
        <x:v>Before → After DB 스키마 전환 분석</x:v>
      </x:c>
      <x:c r="L1" s="3" t="str">
        <x:v>Before → After DB 스키마 전환 분석</x:v>
      </x:c>
      <x:c r="M1" s="3" t="str">
        <x:v>Before → After DB 스키마 전환 분석</x:v>
      </x:c>
      <x:c r="N1" s="3" t="str">
        <x:v>Before → After DB 스키마 전환 분석</x:v>
      </x:c>
    </x:row>
    <x:row r="2" ht="24" customHeight="1">
      <x:c r="A2" s="6" t="str">
        <x:v>현재 코드가 before 기준일 때 after로 변경하기 위한 영향 분석 및 작업 가이드 | 생성일 2026-06-18</x:v>
      </x:c>
      <x:c r="B2" s="6" t="str">
        <x:v>현재 코드가 before 기준일 때 after로 변경하기 위한 영향 분석 및 작업 가이드 | 생성일 2026-06-18</x:v>
      </x:c>
      <x:c r="C2" s="6" t="str">
        <x:v>현재 코드가 before 기준일 때 after로 변경하기 위한 영향 분석 및 작업 가이드 | 생성일 2026-06-18</x:v>
      </x:c>
      <x:c r="D2" s="6" t="str">
        <x:v>현재 코드가 before 기준일 때 after로 변경하기 위한 영향 분석 및 작업 가이드 | 생성일 2026-06-18</x:v>
      </x:c>
      <x:c r="E2" s="6" t="str">
        <x:v>현재 코드가 before 기준일 때 after로 변경하기 위한 영향 분석 및 작업 가이드 | 생성일 2026-06-18</x:v>
      </x:c>
      <x:c r="F2" s="6" t="str">
        <x:v>현재 코드가 before 기준일 때 after로 변경하기 위한 영향 분석 및 작업 가이드 | 생성일 2026-06-18</x:v>
      </x:c>
      <x:c r="G2" s="6" t="str">
        <x:v>현재 코드가 before 기준일 때 after로 변경하기 위한 영향 분석 및 작업 가이드 | 생성일 2026-06-18</x:v>
      </x:c>
      <x:c r="H2" s="6" t="str">
        <x:v>현재 코드가 before 기준일 때 after로 변경하기 위한 영향 분석 및 작업 가이드 | 생성일 2026-06-18</x:v>
      </x:c>
      <x:c r="I2" s="6" t="str">
        <x:v>현재 코드가 before 기준일 때 after로 변경하기 위한 영향 분석 및 작업 가이드 | 생성일 2026-06-18</x:v>
      </x:c>
      <x:c r="J2" s="6" t="str">
        <x:v>현재 코드가 before 기준일 때 after로 변경하기 위한 영향 분석 및 작업 가이드 | 생성일 2026-06-18</x:v>
      </x:c>
      <x:c r="K2" s="6" t="str">
        <x:v>현재 코드가 before 기준일 때 after로 변경하기 위한 영향 분석 및 작업 가이드 | 생성일 2026-06-18</x:v>
      </x:c>
      <x:c r="L2" s="6" t="str">
        <x:v>현재 코드가 before 기준일 때 after로 변경하기 위한 영향 분석 및 작업 가이드 | 생성일 2026-06-18</x:v>
      </x:c>
      <x:c r="M2" s="6" t="str">
        <x:v>현재 코드가 before 기준일 때 after로 변경하기 위한 영향 분석 및 작업 가이드 | 생성일 2026-06-18</x:v>
      </x:c>
      <x:c r="N2" s="6" t="str">
        <x:v>현재 코드가 before 기준일 때 after로 변경하기 위한 영향 분석 및 작업 가이드 | 생성일 2026-06-18</x:v>
      </x:c>
    </x:row>
    <x:row r="4" ht="24" customHeight="1">
      <x:c r="A4" s="8" t="str">
        <x:v>핵심 지표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  <x:c r="N4" s="8" t="str"/>
    </x:row>
    <x:row r="5" ht="30" customHeight="1">
      <x:c r="A5" s="17" t="str">
        <x:v>before 테이블</x:v>
      </x:c>
      <x:c r="B5" s="18" t="n">
        <x:f>ROWS('01_테이블변경'!B5:B26)-COUNTIF('01_테이블변경'!D5:D26,"신규")</x:f>
        <x:v>21</x:v>
      </x:c>
      <x:c r="C5" s="17" t="str">
        <x:v>after 테이블</x:v>
      </x:c>
      <x:c r="D5" s="18" t="n">
        <x:f>ROWS('01_테이블변경'!C5:C26)-COUNTIF('01_테이블변경'!D5:D26,"삭제")</x:f>
        <x:v>22</x:v>
      </x:c>
      <x:c r="E5" s="17" t="str">
        <x:v>테이블 신규</x:v>
      </x:c>
      <x:c r="F5" s="18" t="n">
        <x:f>COUNTIF('01_테이블변경'!D5:D26,"신규")</x:f>
        <x:v>1</x:v>
      </x:c>
      <x:c r="G5" s="17" t="str">
        <x:v>테이블 대체</x:v>
      </x:c>
      <x:c r="H5" s="18" t="n">
        <x:f>COUNTIF('01_테이블변경'!D5:D26,"테이블명 변경/대체")</x:f>
        <x:v>4</x:v>
      </x:c>
    </x:row>
    <x:row r="6" ht="30" customHeight="1">
      <x:c r="A6" s="17" t="str">
        <x:v>변경 컬럼</x:v>
      </x:c>
      <x:c r="B6" s="18" t="n">
        <x:f>ROWS('02_컬럼상세'!G5:G229)-COUNTIF('02_컬럼상세'!G5:G229,"유지")</x:f>
        <x:v>139</x:v>
      </x:c>
      <x:c r="C6" s="17" t="str">
        <x:v>고위험 컬럼</x:v>
      </x:c>
      <x:c r="D6" s="18" t="n">
        <x:f>COUNTIF('02_컬럼상세'!N5:N229,"높음")</x:f>
        <x:v>11</x:v>
      </x:c>
      <x:c r="E6" s="17" t="str">
        <x:v>필수 확인(P0)</x:v>
      </x:c>
      <x:c r="F6" s="18" t="n">
        <x:f>COUNTIF('04_필수확인사항'!A5:A14,"P0")</x:f>
        <x:v>5</x:v>
      </x:c>
      <x:c r="G6" s="17" t="str">
        <x:v>키/FK/인덱스 변경</x:v>
      </x:c>
      <x:c r="H6" s="18" t="n">
        <x:f>ROWS('03_키_인덱스_FK'!G5:G56)-COUNTIF('03_키_인덱스_FK'!G5:G56,"유지")</x:f>
        <x:v>41</x:v>
      </x:c>
    </x:row>
    <x:row r="8">
      <x:c r="A8" s="21" t="str">
        <x:v>변경 유형</x:v>
      </x:c>
      <x:c r="B8" s="21" t="str">
        <x:v>건수</x:v>
      </x:c>
      <x:c r="C8" s="21" t="str">
        <x:v>색상 의미</x:v>
      </x:c>
      <x:c r="D8" s="21" t="str">
        <x:v>우선 대응</x:v>
      </x:c>
      <x:c r="F8" s="19" t="str">
        <x:v>권장 전환 순서</x:v>
      </x:c>
      <x:c r="G8" s="19" t="str"/>
      <x:c r="H8" s="19" t="str"/>
      <x:c r="I8" s="19" t="str"/>
      <x:c r="J8" s="19" t="str"/>
      <x:c r="K8" s="19" t="str"/>
      <x:c r="L8" s="19" t="str"/>
      <x:c r="M8" s="19" t="str"/>
      <x:c r="N8" s="19" t="str"/>
    </x:row>
    <x:row r="9" ht="26" customHeight="1">
      <x:c r="A9" s="23" t="str">
        <x:v>컬럼 삭제</x:v>
      </x:c>
      <x:c r="B9" s="23" t="n">
        <x:f>COUNTIF('02_컬럼상세'!G5:G229,"컬럼 삭제")</x:f>
        <x:v>3</x:v>
      </x:c>
      <x:c r="C9" s="23" t="str">
        <x:v>빨강</x:v>
      </x:c>
      <x:c r="D9" s="23" t="str">
        <x:v>기존 참조/데이터 보존 확인</x:v>
      </x:c>
      <x:c r="F9" s="26" t="str">
        <x:v>1. 04_필수확인사항의 P0 문법/FK 오류를 설계자와 먼저 확정</x:v>
      </x:c>
      <x:c r="G9" s="26" t="str">
        <x:v>1. 04_필수확인사항의 P0 문법/FK 오류를 설계자와 먼저 확정</x:v>
      </x:c>
      <x:c r="H9" s="26" t="str">
        <x:v>1. 04_필수확인사항의 P0 문법/FK 오류를 설계자와 먼저 확정</x:v>
      </x:c>
      <x:c r="I9" s="26" t="str">
        <x:v>1. 04_필수확인사항의 P0 문법/FK 오류를 설계자와 먼저 확정</x:v>
      </x:c>
      <x:c r="J9" s="26" t="str">
        <x:v>1. 04_필수확인사항의 P0 문법/FK 오류를 설계자와 먼저 확정</x:v>
      </x:c>
      <x:c r="K9" s="26" t="str">
        <x:v>1. 04_필수확인사항의 P0 문법/FK 오류를 설계자와 먼저 확정</x:v>
      </x:c>
      <x:c r="L9" s="26" t="str">
        <x:v>1. 04_필수확인사항의 P0 문법/FK 오류를 설계자와 먼저 확정</x:v>
      </x:c>
      <x:c r="M9" s="26" t="str">
        <x:v>1. 04_필수확인사항의 P0 문법/FK 오류를 설계자와 먼저 확정</x:v>
      </x:c>
      <x:c r="N9" s="26" t="str">
        <x:v>1. 04_필수확인사항의 P0 문법/FK 오류를 설계자와 먼저 확정</x:v>
      </x:c>
    </x:row>
    <x:row r="10" ht="26" customHeight="1">
      <x:c r="A10" s="23" t="str">
        <x:v>컬럼 추가</x:v>
      </x:c>
      <x:c r="B10" s="23" t="n">
        <x:f>COUNTIF('02_컬럼상세'!G5:G229,"컬럼 추가")</x:f>
        <x:v>33</x:v>
      </x:c>
      <x:c r="C10" s="23" t="str">
        <x:v>파랑</x:v>
      </x:c>
      <x:c r="D10" s="23" t="str">
        <x:v>Entity·DTO·INSERT/UPDATE 반영</x:v>
      </x:c>
      <x:c r="F10" s="26" t="str">
        <x:v>2. 테이블 대체 4건의 데이터 이관 및 이름 변경 전략 수립</x:v>
      </x:c>
      <x:c r="G10" s="26" t="str">
        <x:v>2. 테이블 대체 4건의 데이터 이관 및 이름 변경 전략 수립</x:v>
      </x:c>
      <x:c r="H10" s="26" t="str">
        <x:v>2. 테이블 대체 4건의 데이터 이관 및 이름 변경 전략 수립</x:v>
      </x:c>
      <x:c r="I10" s="26" t="str">
        <x:v>2. 테이블 대체 4건의 데이터 이관 및 이름 변경 전략 수립</x:v>
      </x:c>
      <x:c r="J10" s="26" t="str">
        <x:v>2. 테이블 대체 4건의 데이터 이관 및 이름 변경 전략 수립</x:v>
      </x:c>
      <x:c r="K10" s="26" t="str">
        <x:v>2. 테이블 대체 4건의 데이터 이관 및 이름 변경 전략 수립</x:v>
      </x:c>
      <x:c r="L10" s="26" t="str">
        <x:v>2. 테이블 대체 4건의 데이터 이관 및 이름 변경 전략 수립</x:v>
      </x:c>
      <x:c r="M10" s="26" t="str">
        <x:v>2. 테이블 대체 4건의 데이터 이관 및 이름 변경 전략 수립</x:v>
      </x:c>
      <x:c r="N10" s="26" t="str">
        <x:v>2. 테이블 대체 4건의 데이터 이관 및 이름 변경 전략 수립</x:v>
      </x:c>
    </x:row>
    <x:row r="11" ht="26" customHeight="1">
      <x:c r="A11" s="23" t="str">
        <x:v>이름변경</x:v>
      </x:c>
      <x:c r="B11" s="23" t="n">
        <x:f>COUNTIF('02_컬럼상세'!G5:G229,"이름변경")+COUNTIF('02_컬럼상세'!G5:G229,"이름+정의 변경")</x:f>
        <x:v>99</x:v>
      </x:c>
      <x:c r="C11" s="23" t="str">
        <x:v>주황</x:v>
      </x:c>
      <x:c r="D11" s="23" t="str">
        <x:v>전체 코드 검색 후 참조 변경</x:v>
      </x:c>
      <x:c r="F11" s="26" t="str">
        <x:v>3. PK·FK·UNIQUE·인덱스 정의를 확정하고 마이그레이션 DDL 작성</x:v>
      </x:c>
      <x:c r="G11" s="26" t="str">
        <x:v>3. PK·FK·UNIQUE·인덱스 정의를 확정하고 마이그레이션 DDL 작성</x:v>
      </x:c>
      <x:c r="H11" s="26" t="str">
        <x:v>3. PK·FK·UNIQUE·인덱스 정의를 확정하고 마이그레이션 DDL 작성</x:v>
      </x:c>
      <x:c r="I11" s="26" t="str">
        <x:v>3. PK·FK·UNIQUE·인덱스 정의를 확정하고 마이그레이션 DDL 작성</x:v>
      </x:c>
      <x:c r="J11" s="26" t="str">
        <x:v>3. PK·FK·UNIQUE·인덱스 정의를 확정하고 마이그레이션 DDL 작성</x:v>
      </x:c>
      <x:c r="K11" s="26" t="str">
        <x:v>3. PK·FK·UNIQUE·인덱스 정의를 확정하고 마이그레이션 DDL 작성</x:v>
      </x:c>
      <x:c r="L11" s="26" t="str">
        <x:v>3. PK·FK·UNIQUE·인덱스 정의를 확정하고 마이그레이션 DDL 작성</x:v>
      </x:c>
      <x:c r="M11" s="26" t="str">
        <x:v>3. PK·FK·UNIQUE·인덱스 정의를 확정하고 마이그레이션 DDL 작성</x:v>
      </x:c>
      <x:c r="N11" s="26" t="str">
        <x:v>3. PK·FK·UNIQUE·인덱스 정의를 확정하고 마이그레이션 DDL 작성</x:v>
      </x:c>
    </x:row>
    <x:row r="12" ht="26" customHeight="1">
      <x:c r="A12" s="23" t="str">
        <x:v>정의 변경</x:v>
      </x:c>
      <x:c r="B12" s="23" t="n">
        <x:f>COUNTIF('02_컬럼상세'!G5:G229,"정의 변경")</x:f>
        <x:v>4</x:v>
      </x:c>
      <x:c r="C12" s="23" t="str">
        <x:v>노랑</x:v>
      </x:c>
      <x:c r="D12" s="23" t="str">
        <x:v>타입·NULL·기본값·키 반영</x:v>
      </x:c>
      <x:c r="F12" s="26" t="str">
        <x:v>4. 02_컬럼상세를 필터링해 Entity → DTO → Mapper/SQL → API 순서로 수정</x:v>
      </x:c>
      <x:c r="G12" s="26" t="str">
        <x:v>4. 02_컬럼상세를 필터링해 Entity → DTO → Mapper/SQL → API 순서로 수정</x:v>
      </x:c>
      <x:c r="H12" s="26" t="str">
        <x:v>4. 02_컬럼상세를 필터링해 Entity → DTO → Mapper/SQL → API 순서로 수정</x:v>
      </x:c>
      <x:c r="I12" s="26" t="str">
        <x:v>4. 02_컬럼상세를 필터링해 Entity → DTO → Mapper/SQL → API 순서로 수정</x:v>
      </x:c>
      <x:c r="J12" s="26" t="str">
        <x:v>4. 02_컬럼상세를 필터링해 Entity → DTO → Mapper/SQL → API 순서로 수정</x:v>
      </x:c>
      <x:c r="K12" s="26" t="str">
        <x:v>4. 02_컬럼상세를 필터링해 Entity → DTO → Mapper/SQL → API 순서로 수정</x:v>
      </x:c>
      <x:c r="L12" s="26" t="str">
        <x:v>4. 02_컬럼상세를 필터링해 Entity → DTO → Mapper/SQL → API 순서로 수정</x:v>
      </x:c>
      <x:c r="M12" s="26" t="str">
        <x:v>4. 02_컬럼상세를 필터링해 Entity → DTO → Mapper/SQL → API 순서로 수정</x:v>
      </x:c>
      <x:c r="N12" s="26" t="str">
        <x:v>4. 02_컬럼상세를 필터링해 Entity → DTO → Mapper/SQL → API 순서로 수정</x:v>
      </x:c>
    </x:row>
    <x:row r="13" ht="26" customHeight="1">
      <x:c r="A13" s="23" t="str">
        <x:v>유지</x:v>
      </x:c>
      <x:c r="B13" s="23" t="n">
        <x:f>COUNTIF('02_컬럼상세'!G5:G229,"유지")</x:f>
        <x:v>86</x:v>
      </x:c>
      <x:c r="C13" s="23" t="str">
        <x:v>회색</x:v>
      </x:c>
      <x:c r="D13" s="23" t="str">
        <x:v>회귀 테스트</x:v>
      </x:c>
      <x:c r="F13" s="26" t="str">
        <x:v>5. 기존 데이터 변환, NOT NULL/기본값 채움, 토큰·로그·게시판 회귀 테스트</x:v>
      </x:c>
      <x:c r="G13" s="26" t="str">
        <x:v>5. 기존 데이터 변환, NOT NULL/기본값 채움, 토큰·로그·게시판 회귀 테스트</x:v>
      </x:c>
      <x:c r="H13" s="26" t="str">
        <x:v>5. 기존 데이터 변환, NOT NULL/기본값 채움, 토큰·로그·게시판 회귀 테스트</x:v>
      </x:c>
      <x:c r="I13" s="26" t="str">
        <x:v>5. 기존 데이터 변환, NOT NULL/기본값 채움, 토큰·로그·게시판 회귀 테스트</x:v>
      </x:c>
      <x:c r="J13" s="26" t="str">
        <x:v>5. 기존 데이터 변환, NOT NULL/기본값 채움, 토큰·로그·게시판 회귀 테스트</x:v>
      </x:c>
      <x:c r="K13" s="26" t="str">
        <x:v>5. 기존 데이터 변환, NOT NULL/기본값 채움, 토큰·로그·게시판 회귀 테스트</x:v>
      </x:c>
      <x:c r="L13" s="26" t="str">
        <x:v>5. 기존 데이터 변환, NOT NULL/기본값 채움, 토큰·로그·게시판 회귀 테스트</x:v>
      </x:c>
      <x:c r="M13" s="26" t="str">
        <x:v>5. 기존 데이터 변환, NOT NULL/기본값 채움, 토큰·로그·게시판 회귀 테스트</x:v>
      </x:c>
      <x:c r="N13" s="26" t="str">
        <x:v>5. 기존 데이터 변환, NOT NULL/기본값 채움, 토큰·로그·게시판 회귀 테스트</x:v>
      </x:c>
    </x:row>
    <x:row r="14" ht="24" customHeight="1">
      <x:c r="A14" s="23" t="str">
        <x:v>설계 확인</x:v>
      </x:c>
      <x:c r="B14" s="23" t="n">
        <x:f>ROWS('04_필수확인사항'!A5:A14)</x:f>
        <x:v>10</x:v>
      </x:c>
      <x:c r="C14" s="23" t="str">
        <x:v>진한 빨강</x:v>
      </x:c>
      <x:c r="D14" s="23" t="str">
        <x:v>after.sql 적용 전 반드시 확정</x:v>
      </x:c>
    </x:row>
    <x:row r="16">
      <x:c r="A16" s="28" t="str">
        <x:v>차트 항목</x:v>
      </x:c>
      <x:c r="B16" s="28" t="str">
        <x:v>건수</x:v>
      </x:c>
      <x:c r="C16" t="str"/>
      <x:c r="D16" t="str"/>
    </x:row>
    <x:row r="17">
      <x:c r="A17" s="28" t="str">
        <x:v>컬럼 삭제</x:v>
      </x:c>
      <x:c r="B17" s="28" t="n">
        <x:f>B9</x:f>
        <x:v>3</x:v>
      </x:c>
      <x:c r="C17" t="str"/>
      <x:c r="D17" t="str"/>
    </x:row>
    <x:row r="18">
      <x:c r="A18" s="28" t="str">
        <x:v>컬럼 추가</x:v>
      </x:c>
      <x:c r="B18" s="28" t="n">
        <x:f>B10</x:f>
        <x:v>33</x:v>
      </x:c>
      <x:c r="C18" t="str"/>
      <x:c r="D18" t="str"/>
    </x:row>
    <x:row r="19">
      <x:c r="A19" s="28" t="str">
        <x:v>이름변경</x:v>
      </x:c>
      <x:c r="B19" s="28" t="n">
        <x:f>B11</x:f>
        <x:v>99</x:v>
      </x:c>
      <x:c r="C19" t="str"/>
      <x:c r="D19" t="str"/>
    </x:row>
    <x:row r="20">
      <x:c r="A20" s="28" t="str">
        <x:v>정의 변경</x:v>
      </x:c>
      <x:c r="B20" s="28" t="n">
        <x:f>B12</x:f>
        <x:v>4</x:v>
      </x:c>
      <x:c r="C20" t="str"/>
      <x:c r="D20" t="str"/>
    </x:row>
    <x:row r="21">
      <x:c r="A21" s="28" t="str">
        <x:v>유지</x:v>
      </x:c>
      <x:c r="B21" s="28" t="n">
        <x:f>B13</x:f>
        <x:v>86</x:v>
      </x:c>
      <x:c r="C21" t="str"/>
      <x:c r="D21" t="str"/>
    </x:row>
    <x:row r="22">
      <x:c r="A22" s="28" t="str">
        <x:v>설계 확인</x:v>
      </x:c>
      <x:c r="B22" s="28" t="n">
        <x:f>B14</x:f>
        <x:v>10</x:v>
      </x:c>
      <x:c r="C22" t="str"/>
      <x:c r="D22" t="str"/>
    </x:row>
  </x:sheetData>
  <x:mergeCells>
    <x:mergeCell ref="A1:N1"/>
    <x:mergeCell ref="A2:N2"/>
    <x:mergeCell ref="A4:N4"/>
    <x:mergeCell ref="F8:N8"/>
    <x:mergeCell ref="F9:N9"/>
    <x:mergeCell ref="F10:N10"/>
    <x:mergeCell ref="F11:N11"/>
    <x:mergeCell ref="F12:N12"/>
    <x:mergeCell ref="F13:N13"/>
  </x:mergeCells>
  <x:pageMargins left="0.7" right="0.7" top="0.75" bottom="0.75" header="0.3" footer="0.3"/>
  <x:drawing xmlns:r="http://schemas.openxmlformats.org/officeDocument/2006/relationships" r:id="Ra93ff3a85bc24f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42" hidden="0" customWidth="1"/>
    <x:col min="12" max="12" width="10" hidden="0" customWidth="1"/>
    <x:col min="13" max="13" width="12" hidden="0" customWidth="1"/>
    <x:col min="14" max="14" width="28" hidden="0" customWidth="1"/>
  </x:cols>
  <x:sheetData>
    <x:row r="1" ht="34" customHeight="1">
      <x:c r="A1" s="37" t="str">
        <x:v>테이블 단위 변경 요약</x:v>
      </x:c>
      <x:c r="B1" s="37" t="str">
        <x:v>테이블 단위 변경 요약</x:v>
      </x:c>
      <x:c r="C1" s="37" t="str">
        <x:v>테이블 단위 변경 요약</x:v>
      </x:c>
      <x:c r="D1" s="37" t="str">
        <x:v>테이블 단위 변경 요약</x:v>
      </x:c>
      <x:c r="E1" s="37" t="str">
        <x:v>테이블 단위 변경 요약</x:v>
      </x:c>
      <x:c r="F1" s="37" t="str">
        <x:v>테이블 단위 변경 요약</x:v>
      </x:c>
      <x:c r="G1" s="37" t="str">
        <x:v>테이블 단위 변경 요약</x:v>
      </x:c>
      <x:c r="H1" s="37" t="str">
        <x:v>테이블 단위 변경 요약</x:v>
      </x:c>
      <x:c r="I1" s="37" t="str">
        <x:v>테이블 단위 변경 요약</x:v>
      </x:c>
      <x:c r="J1" s="37" t="str">
        <x:v>테이블 단위 변경 요약</x:v>
      </x:c>
      <x:c r="K1" s="37" t="str">
        <x:v>테이블 단위 변경 요약</x:v>
      </x:c>
      <x:c r="L1" s="37" t="str">
        <x:v>테이블 단위 변경 요약</x:v>
      </x:c>
      <x:c r="M1" s="37" t="str">
        <x:v>테이블 단위 변경 요약</x:v>
      </x:c>
      <x:c r="N1" s="37" t="str">
        <x:v>테이블 단위 변경 요약</x:v>
      </x:c>
    </x:row>
    <x:row r="2" ht="24" customHeight="1">
      <x:c r="A2" s="38" t="str">
        <x:v>테이블 추가·삭제·대체 여부와 변경 컬럼 수를 기준으로 우선순위를 확인하세요.</x:v>
      </x:c>
      <x:c r="B2" s="38" t="str">
        <x:v>테이블 추가·삭제·대체 여부와 변경 컬럼 수를 기준으로 우선순위를 확인하세요.</x:v>
      </x:c>
      <x:c r="C2" s="38" t="str">
        <x:v>테이블 추가·삭제·대체 여부와 변경 컬럼 수를 기준으로 우선순위를 확인하세요.</x:v>
      </x:c>
      <x:c r="D2" s="38" t="str">
        <x:v>테이블 추가·삭제·대체 여부와 변경 컬럼 수를 기준으로 우선순위를 확인하세요.</x:v>
      </x:c>
      <x:c r="E2" s="38" t="str">
        <x:v>테이블 추가·삭제·대체 여부와 변경 컬럼 수를 기준으로 우선순위를 확인하세요.</x:v>
      </x:c>
      <x:c r="F2" s="38" t="str">
        <x:v>테이블 추가·삭제·대체 여부와 변경 컬럼 수를 기준으로 우선순위를 확인하세요.</x:v>
      </x:c>
      <x:c r="G2" s="38" t="str">
        <x:v>테이블 추가·삭제·대체 여부와 변경 컬럼 수를 기준으로 우선순위를 확인하세요.</x:v>
      </x:c>
      <x:c r="H2" s="38" t="str">
        <x:v>테이블 추가·삭제·대체 여부와 변경 컬럼 수를 기준으로 우선순위를 확인하세요.</x:v>
      </x:c>
      <x:c r="I2" s="38" t="str">
        <x:v>테이블 추가·삭제·대체 여부와 변경 컬럼 수를 기준으로 우선순위를 확인하세요.</x:v>
      </x:c>
      <x:c r="J2" s="38" t="str">
        <x:v>테이블 추가·삭제·대체 여부와 변경 컬럼 수를 기준으로 우선순위를 확인하세요.</x:v>
      </x:c>
      <x:c r="K2" s="38" t="str">
        <x:v>테이블 추가·삭제·대체 여부와 변경 컬럼 수를 기준으로 우선순위를 확인하세요.</x:v>
      </x:c>
      <x:c r="L2" s="38" t="str">
        <x:v>테이블 추가·삭제·대체 여부와 변경 컬럼 수를 기준으로 우선순위를 확인하세요.</x:v>
      </x:c>
      <x:c r="M2" s="38" t="str">
        <x:v>테이블 추가·삭제·대체 여부와 변경 컬럼 수를 기준으로 우선순위를 확인하세요.</x:v>
      </x:c>
      <x:c r="N2" s="38" t="str">
        <x:v>테이블 추가·삭제·대체 여부와 변경 컬럼 수를 기준으로 우선순위를 확인하세요.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테이블 상태</x:v>
      </x:c>
      <x:c r="E4" s="40" t="str">
        <x:v>Before 설명</x:v>
      </x:c>
      <x:c r="F4" s="40" t="str">
        <x:v>After 설명</x:v>
      </x:c>
      <x:c r="G4" s="40" t="str">
        <x:v>Before 컬럼수</x:v>
      </x:c>
      <x:c r="H4" s="40" t="str">
        <x:v>After 컬럼수</x:v>
      </x:c>
      <x:c r="I4" s="40" t="str">
        <x:v>변경 컬럼수</x:v>
      </x:c>
      <x:c r="J4" s="40" t="str">
        <x:v>고위험수</x:v>
      </x:c>
      <x:c r="K4" s="40" t="str">
        <x:v>필요 작업</x:v>
      </x:c>
      <x:c r="L4" s="40" t="str">
        <x:v>우선순위</x:v>
      </x:c>
      <x:c r="M4" s="40" t="str">
        <x:v>상태</x:v>
      </x:c>
      <x:c r="N4" s="40" t="str">
        <x:v>비고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테이블 유지</x:v>
      </x:c>
      <x:c r="E5" s="35" t="str">
        <x:v>메뉴권한그룹</x:v>
      </x:c>
      <x:c r="F5" s="35" t="str">
        <x:v>메뉴권한그룹</x:v>
      </x:c>
      <x:c r="G5" s="35" t="n">
        <x:v>6</x:v>
      </x:c>
      <x:c r="H5" s="35" t="n">
        <x:v>6</x:v>
      </x:c>
      <x:c r="I5" s="35" t="n">
        <x:v>4</x:v>
      </x:c>
      <x:c r="J5" s="35" t="n">
        <x:v>0</x:v>
      </x:c>
      <x:c r="K5" s="35" t="str">
        <x:v>변경 컬럼 기준으로 코드 수정</x:v>
      </x:c>
      <x:c r="L5" s="35" t="str">
        <x:v>P2</x:v>
      </x:c>
      <x:c r="M5" s="35" t="str">
        <x:v>미착수</x:v>
      </x:c>
      <x:c r="N5" s="35" t="str"/>
    </x:row>
    <x:row r="6">
      <x:c r="A6" s="35" t="n">
        <x:v>2</x:v>
      </x:c>
      <x:c r="B6" s="35" t="str">
        <x:v>SYS_ACS_LOG</x:v>
      </x:c>
      <x:c r="C6" s="35" t="str">
        <x:v>SYS_ACS_LOG</x:v>
      </x:c>
      <x:c r="D6" s="35" t="str">
        <x:v>테이블 유지</x:v>
      </x:c>
      <x:c r="E6" s="35" t="str">
        <x:v>사용자 접속 및 기기 통계 테이블</x:v>
      </x:c>
      <x:c r="F6" s="35" t="str">
        <x:v>사용자 접속 및 기기 통계 테이블</x:v>
      </x:c>
      <x:c r="G6" s="35" t="n">
        <x:v>9</x:v>
      </x:c>
      <x:c r="H6" s="35" t="n">
        <x:v>9</x:v>
      </x:c>
      <x:c r="I6" s="35" t="n">
        <x:v>4</x:v>
      </x:c>
      <x:c r="J6" s="35" t="n">
        <x:v>1</x:v>
      </x:c>
      <x:c r="K6" s="35" t="str">
        <x:v>변경 컬럼 기준으로 코드 수정</x:v>
      </x:c>
      <x:c r="L6" s="35" t="str">
        <x:v>P1</x:v>
      </x:c>
      <x:c r="M6" s="35" t="str">
        <x:v>미착수</x:v>
      </x:c>
      <x:c r="N6" s="35" t="str"/>
    </x:row>
    <x:row r="7">
      <x:c r="A7" s="35" t="n">
        <x:v>3</x:v>
      </x:c>
      <x:c r="B7" s="35" t="str">
        <x:v>SYS_BBS_MST</x:v>
      </x:c>
      <x:c r="C7" s="35" t="str">
        <x:v>SYS_BBS_MST</x:v>
      </x:c>
      <x:c r="D7" s="35" t="str">
        <x:v>테이블 유지</x:v>
      </x:c>
      <x:c r="E7" s="35" t="str">
        <x:v>게시판 마스터</x:v>
      </x:c>
      <x:c r="F7" s="35" t="str">
        <x:v>게시판 마스터</x:v>
      </x:c>
      <x:c r="G7" s="35" t="n">
        <x:v>7</x:v>
      </x:c>
      <x:c r="H7" s="35" t="n">
        <x:v>7</x:v>
      </x:c>
      <x:c r="I7" s="35" t="n">
        <x:v>3</x:v>
      </x:c>
      <x:c r="J7" s="35" t="n">
        <x:v>0</x:v>
      </x:c>
      <x:c r="K7" s="35" t="str">
        <x:v>변경 컬럼 기준으로 코드 수정</x:v>
      </x:c>
      <x:c r="L7" s="35" t="str">
        <x:v>P2</x:v>
      </x:c>
      <x:c r="M7" s="35" t="str">
        <x:v>미착수</x:v>
      </x:c>
      <x:c r="N7" s="35" t="str"/>
    </x:row>
    <x:row r="8">
      <x:c r="A8" s="35" t="n">
        <x:v>4</x:v>
      </x:c>
      <x:c r="B8" s="35" t="str">
        <x:v>SYS_BBS</x:v>
      </x:c>
      <x:c r="C8" s="35" t="str">
        <x:v>SYS_BBS</x:v>
      </x:c>
      <x:c r="D8" s="35" t="str">
        <x:v>테이블 유지</x:v>
      </x:c>
      <x:c r="E8" s="35" t="str">
        <x:v>게시판</x:v>
      </x:c>
      <x:c r="F8" s="35" t="str">
        <x:v>게시판</x:v>
      </x:c>
      <x:c r="G8" s="35" t="n">
        <x:v>12</x:v>
      </x:c>
      <x:c r="H8" s="35" t="n">
        <x:v>12</x:v>
      </x:c>
      <x:c r="I8" s="35" t="n">
        <x:v>7</x:v>
      </x:c>
      <x:c r="J8" s="35" t="n">
        <x:v>0</x:v>
      </x:c>
      <x:c r="K8" s="35" t="str">
        <x:v>변경 컬럼 기준으로 코드 수정</x:v>
      </x:c>
      <x:c r="L8" s="35" t="str">
        <x:v>P2</x:v>
      </x:c>
      <x:c r="M8" s="35" t="str">
        <x:v>미착수</x:v>
      </x:c>
      <x:c r="N8" s="35" t="str"/>
    </x:row>
    <x:row r="9">
      <x:c r="A9" s="35" t="n">
        <x:v>5</x:v>
      </x:c>
      <x:c r="B9" s="35" t="str">
        <x:v>SYS_BBS_BRD</x:v>
      </x:c>
      <x:c r="C9" s="35" t="str">
        <x:v>SYS_BBS_PST</x:v>
      </x:c>
      <x:c r="D9" s="35" t="str">
        <x:v>테이블명 변경/대체</x:v>
      </x:c>
      <x:c r="E9" s="35" t="str">
        <x:v>게시판 게시물 정보</x:v>
      </x:c>
      <x:c r="F9" s="35" t="str">
        <x:v>게시판 게시물</x:v>
      </x:c>
      <x:c r="G9" s="35" t="n">
        <x:v>12</x:v>
      </x:c>
      <x:c r="H9" s="35" t="n">
        <x:v>12</x:v>
      </x:c>
      <x:c r="I9" s="35" t="n">
        <x:v>8</x:v>
      </x:c>
      <x:c r="J9" s="35" t="n">
        <x:v>0</x:v>
      </x:c>
      <x:c r="K9" s="35" t="str">
        <x:v>모든 참조를 SYS_BBS_BRD → SYS_BBS_PST로 전환</x:v>
      </x:c>
      <x:c r="L9" s="35" t="str">
        <x:v>P2</x:v>
      </x:c>
      <x:c r="M9" s="35" t="str">
        <x:v>미착수</x:v>
      </x:c>
      <x:c r="N9" s="35" t="str"/>
    </x:row>
    <x:row r="10">
      <x:c r="A10" s="35" t="n">
        <x:v>6</x:v>
      </x:c>
      <x:c r="B10" s="35" t="str">
        <x:v>SYS_BBS_RPLY</x:v>
      </x:c>
      <x:c r="C10" s="35" t="str">
        <x:v>SYS_BBS_CMNT</x:v>
      </x:c>
      <x:c r="D10" s="35" t="str">
        <x:v>테이블명 변경/대체</x:v>
      </x:c>
      <x:c r="E10" s="35" t="str"/>
      <x:c r="F10" s="35" t="str">
        <x:v>게시판 댓글</x:v>
      </x:c>
      <x:c r="G10" s="35" t="n">
        <x:v>9</x:v>
      </x:c>
      <x:c r="H10" s="35" t="n">
        <x:v>9</x:v>
      </x:c>
      <x:c r="I10" s="35" t="n">
        <x:v>7</x:v>
      </x:c>
      <x:c r="J10" s="35" t="n">
        <x:v>0</x:v>
      </x:c>
      <x:c r="K10" s="35" t="str">
        <x:v>모든 참조를 SYS_BBS_RPLY → SYS_BBS_CMNT로 전환</x:v>
      </x:c>
      <x:c r="L10" s="35" t="str">
        <x:v>P2</x:v>
      </x:c>
      <x:c r="M10" s="35" t="str">
        <x:v>미착수</x:v>
      </x:c>
      <x:c r="N10" s="35" t="str"/>
    </x:row>
    <x:row r="11">
      <x:c r="A11" s="35" t="n">
        <x:v>7</x:v>
      </x:c>
      <x:c r="B11" s="35" t="str">
        <x:v>SYS_CD_GRP</x:v>
      </x:c>
      <x:c r="C11" s="35" t="str">
        <x:v>SYS_CD_GRP</x:v>
      </x:c>
      <x:c r="D11" s="35" t="str">
        <x:v>테이블 유지</x:v>
      </x:c>
      <x:c r="E11" s="35" t="str">
        <x:v>공통코드 그룹</x:v>
      </x:c>
      <x:c r="F11" s="35" t="str">
        <x:v>공통코드 그룹</x:v>
      </x:c>
      <x:c r="G11" s="35" t="n">
        <x:v>8</x:v>
      </x:c>
      <x:c r="H11" s="35" t="n">
        <x:v>9</x:v>
      </x:c>
      <x:c r="I11" s="35" t="n">
        <x:v>6</x:v>
      </x:c>
      <x:c r="J11" s="35" t="n">
        <x:v>1</x:v>
      </x:c>
      <x:c r="K11" s="35" t="str">
        <x:v>변경 컬럼 기준으로 코드 수정</x:v>
      </x:c>
      <x:c r="L11" s="35" t="str">
        <x:v>P1</x:v>
      </x:c>
      <x:c r="M11" s="35" t="str">
        <x:v>미착수</x:v>
      </x:c>
      <x:c r="N11" s="35" t="str"/>
    </x:row>
    <x:row r="12">
      <x:c r="A12" s="35" t="n">
        <x:v>8</x:v>
      </x:c>
      <x:c r="B12" s="35" t="str">
        <x:v>SYS_CD</x:v>
      </x:c>
      <x:c r="C12" s="35" t="str">
        <x:v>SYS_CD</x:v>
      </x:c>
      <x:c r="D12" s="35" t="str">
        <x:v>테이블 유지</x:v>
      </x:c>
      <x:c r="E12" s="35" t="str">
        <x:v>공통코드</x:v>
      </x:c>
      <x:c r="F12" s="35" t="str">
        <x:v>코드정보</x:v>
      </x:c>
      <x:c r="G12" s="35" t="n">
        <x:v>9</x:v>
      </x:c>
      <x:c r="H12" s="35" t="n">
        <x:v>10</x:v>
      </x:c>
      <x:c r="I12" s="35" t="n">
        <x:v>5</x:v>
      </x:c>
      <x:c r="J12" s="35" t="n">
        <x:v>1</x:v>
      </x:c>
      <x:c r="K12" s="35" t="str">
        <x:v>변경 컬럼 기준으로 코드 수정</x:v>
      </x:c>
      <x:c r="L12" s="35" t="str">
        <x:v>P1</x:v>
      </x:c>
      <x:c r="M12" s="35" t="str">
        <x:v>미착수</x:v>
      </x:c>
      <x:c r="N12" s="35" t="str"/>
    </x:row>
    <x:row r="13">
      <x:c r="A13" s="35" t="n">
        <x:v>9</x:v>
      </x:c>
      <x:c r="B13" s="35" t="str">
        <x:v>SYS_DEPT_GRP</x:v>
      </x:c>
      <x:c r="C13" s="35" t="str">
        <x:v>SYS_DEPT_GRP</x:v>
      </x:c>
      <x:c r="D13" s="35" t="str">
        <x:v>테이블 유지</x:v>
      </x:c>
      <x:c r="E13" s="35" t="str">
        <x:v>공통그룹</x:v>
      </x:c>
      <x:c r="F13" s="35" t="str">
        <x:v>공통그룹</x:v>
      </x:c>
      <x:c r="G13" s="35" t="n">
        <x:v>9</x:v>
      </x:c>
      <x:c r="H13" s="35" t="n">
        <x:v>9</x:v>
      </x:c>
      <x:c r="I13" s="35" t="n">
        <x:v>5</x:v>
      </x:c>
      <x:c r="J13" s="35" t="n">
        <x:v>0</x:v>
      </x:c>
      <x:c r="K13" s="35" t="str">
        <x:v>변경 컬럼 기준으로 코드 수정</x:v>
      </x:c>
      <x:c r="L13" s="35" t="str">
        <x:v>P2</x:v>
      </x:c>
      <x:c r="M13" s="35" t="str">
        <x:v>미착수</x:v>
      </x:c>
      <x:c r="N13" s="35" t="str"/>
    </x:row>
    <x:row r="14">
      <x:c r="A14" s="35" t="n">
        <x:v>10</x:v>
      </x:c>
      <x:c r="B14" s="35" t="str">
        <x:v>SYS_EVT_LOG</x:v>
      </x:c>
      <x:c r="C14" s="35" t="str">
        <x:v>SYS_ADT_LOG</x:v>
      </x:c>
      <x:c r="D14" s="35" t="str">
        <x:v>테이블명 변경/대체</x:v>
      </x:c>
      <x:c r="E14" s="35" t="str">
        <x:v>CRUD 감사 로그 테이블</x:v>
      </x:c>
      <x:c r="F14" s="35" t="str">
        <x:v>감사로그</x:v>
      </x:c>
      <x:c r="G14" s="35" t="n">
        <x:v>11</x:v>
      </x:c>
      <x:c r="H14" s="35" t="n">
        <x:v>10</x:v>
      </x:c>
      <x:c r="I14" s="35" t="n">
        <x:v>8</x:v>
      </x:c>
      <x:c r="J14" s="35" t="n">
        <x:v>3</x:v>
      </x:c>
      <x:c r="K14" s="35" t="str">
        <x:v>모든 참조를 SYS_EVT_LOG → SYS_ADT_LOG로 전환</x:v>
      </x:c>
      <x:c r="L14" s="35" t="str">
        <x:v>P1</x:v>
      </x:c>
      <x:c r="M14" s="35" t="str">
        <x:v>미착수</x:v>
      </x:c>
      <x:c r="N14" s="35" t="str"/>
    </x:row>
    <x:row r="15">
      <x:c r="A15" s="35" t="n">
        <x:v>11</x:v>
      </x:c>
      <x:c r="B15" s="35" t="str">
        <x:v>SYS_FILE</x:v>
      </x:c>
      <x:c r="C15" s="35" t="str">
        <x:v>SYS_FILE</x:v>
      </x:c>
      <x:c r="D15" s="35" t="str">
        <x:v>테이블 유지</x:v>
      </x:c>
      <x:c r="E15" s="35" t="str">
        <x:v>공통파일</x:v>
      </x:c>
      <x:c r="F15" s="35" t="str">
        <x:v>공통파일</x:v>
      </x:c>
      <x:c r="G15" s="35" t="n">
        <x:v>6</x:v>
      </x:c>
      <x:c r="H15" s="35" t="n">
        <x:v>6</x:v>
      </x:c>
      <x:c r="I15" s="35" t="n">
        <x:v>4</x:v>
      </x:c>
      <x:c r="J15" s="35" t="n">
        <x:v>0</x:v>
      </x:c>
      <x:c r="K15" s="35" t="str">
        <x:v>변경 컬럼 기준으로 코드 수정</x:v>
      </x:c>
      <x:c r="L15" s="35" t="str">
        <x:v>P2</x:v>
      </x:c>
      <x:c r="M15" s="35" t="str">
        <x:v>미착수</x:v>
      </x:c>
      <x:c r="N15" s="35" t="str"/>
    </x:row>
    <x:row r="16">
      <x:c r="A16" s="35" t="n">
        <x:v>12</x:v>
      </x:c>
      <x:c r="B16" s="35" t="str">
        <x:v>SYS_FILE_DTL</x:v>
      </x:c>
      <x:c r="C16" s="35" t="str">
        <x:v>SYS_FILE_DTL</x:v>
      </x:c>
      <x:c r="D16" s="35" t="str">
        <x:v>테이블 유지</x:v>
      </x:c>
      <x:c r="E16" s="35" t="str">
        <x:v>공통 첨부파일 테이블</x:v>
      </x:c>
      <x:c r="F16" s="35" t="str">
        <x:v>공통 첨부파일 테이블</x:v>
      </x:c>
      <x:c r="G16" s="35" t="n">
        <x:v>11</x:v>
      </x:c>
      <x:c r="H16" s="35" t="n">
        <x:v>11</x:v>
      </x:c>
      <x:c r="I16" s="35" t="n">
        <x:v>4</x:v>
      </x:c>
      <x:c r="J16" s="35" t="n">
        <x:v>0</x:v>
      </x:c>
      <x:c r="K16" s="35" t="str">
        <x:v>변경 컬럼 기준으로 코드 수정</x:v>
      </x:c>
      <x:c r="L16" s="35" t="str">
        <x:v>P2</x:v>
      </x:c>
      <x:c r="M16" s="35" t="str">
        <x:v>미착수</x:v>
      </x:c>
      <x:c r="N16" s="35" t="str"/>
    </x:row>
    <x:row r="17">
      <x:c r="A17" s="35" t="n">
        <x:v>13</x:v>
      </x:c>
      <x:c r="B17" s="35" t="str">
        <x:v>SYS_ICON</x:v>
      </x:c>
      <x:c r="C17" s="35" t="str">
        <x:v>SYS_ICON</x:v>
      </x:c>
      <x:c r="D17" s="35" t="str">
        <x:v>테이블 유지</x:v>
      </x:c>
      <x:c r="E17" s="35" t="str">
        <x:v>아이콘</x:v>
      </x:c>
      <x:c r="F17" s="35" t="str">
        <x:v>아이콘</x:v>
      </x:c>
      <x:c r="G17" s="35" t="n">
        <x:v>3</x:v>
      </x:c>
      <x:c r="H17" s="35" t="n">
        <x:v>3</x:v>
      </x:c>
      <x:c r="I17" s="35" t="n">
        <x:v>0</x:v>
      </x:c>
      <x:c r="J17" s="35" t="n">
        <x:v>0</x:v>
      </x:c>
      <x:c r="K17" s="35" t="str">
        <x:v>변경 컬럼 기준으로 코드 수정</x:v>
      </x:c>
      <x:c r="L17" s="35" t="str">
        <x:v>P3</x:v>
      </x:c>
      <x:c r="M17" s="35" t="str">
        <x:v>해당없음</x:v>
      </x:c>
      <x:c r="N17" s="35" t="str"/>
    </x:row>
    <x:row r="18">
      <x:c r="A18" s="35" t="n">
        <x:v>14</x:v>
      </x:c>
      <x:c r="B18" s="35" t="str">
        <x:v>SYS_MENU</x:v>
      </x:c>
      <x:c r="C18" s="35" t="str">
        <x:v>SYS_MENU</x:v>
      </x:c>
      <x:c r="D18" s="35" t="str">
        <x:v>테이블 유지</x:v>
      </x:c>
      <x:c r="E18" s="35" t="str"/>
      <x:c r="F18" s="35" t="str">
        <x:v>메뉴</x:v>
      </x:c>
      <x:c r="G18" s="35" t="n">
        <x:v>16</x:v>
      </x:c>
      <x:c r="H18" s="35" t="n">
        <x:v>16</x:v>
      </x:c>
      <x:c r="I18" s="35" t="n">
        <x:v>4</x:v>
      </x:c>
      <x:c r="J18" s="35" t="n">
        <x:v>0</x:v>
      </x:c>
      <x:c r="K18" s="35" t="str">
        <x:v>변경 컬럼 기준으로 코드 수정</x:v>
      </x:c>
      <x:c r="L18" s="35" t="str">
        <x:v>P2</x:v>
      </x:c>
      <x:c r="M18" s="35" t="str">
        <x:v>미착수</x:v>
      </x:c>
      <x:c r="N18" s="35" t="str"/>
    </x:row>
    <x:row r="19">
      <x:c r="A19" s="35" t="n">
        <x:v>15</x:v>
      </x:c>
      <x:c r="B19" s="35" t="str">
        <x:v>SYS_OFFC</x:v>
      </x:c>
      <x:c r="C19" s="35" t="str">
        <x:v>SYS_INST</x:v>
      </x:c>
      <x:c r="D19" s="35" t="str">
        <x:v>테이블명 변경/대체</x:v>
      </x:c>
      <x:c r="E19" s="35" t="str">
        <x:v>기관</x:v>
      </x:c>
      <x:c r="F19" s="35" t="str">
        <x:v>기관</x:v>
      </x:c>
      <x:c r="G19" s="35" t="n">
        <x:v>9</x:v>
      </x:c>
      <x:c r="H19" s="35" t="n">
        <x:v>23</x:v>
      </x:c>
      <x:c r="I19" s="35" t="n">
        <x:v>22</x:v>
      </x:c>
      <x:c r="J19" s="35" t="n">
        <x:v>0</x:v>
      </x:c>
      <x:c r="K19" s="35" t="str">
        <x:v>모든 참조를 SYS_OFFC → SYS_INST로 전환</x:v>
      </x:c>
      <x:c r="L19" s="35" t="str">
        <x:v>P2</x:v>
      </x:c>
      <x:c r="M19" s="35" t="str">
        <x:v>미착수</x:v>
      </x:c>
      <x:c r="N19" s="35" t="str"/>
    </x:row>
    <x:row r="20">
      <x:c r="A20" s="35" t="n">
        <x:v>16</x:v>
      </x:c>
      <x:c r="B20" s="35" t="str">
        <x:v>SYS_SITE_CFG</x:v>
      </x:c>
      <x:c r="C20" s="35" t="str">
        <x:v>SYS_SITE_CFG</x:v>
      </x:c>
      <x:c r="D20" s="35" t="str">
        <x:v>테이블 유지</x:v>
      </x:c>
      <x:c r="E20" s="35" t="str">
        <x:v>사이트 환경 설정</x:v>
      </x:c>
      <x:c r="F20" s="35" t="str">
        <x:v>사이트 환경 설정</x:v>
      </x:c>
      <x:c r="G20" s="35" t="n">
        <x:v>9</x:v>
      </x:c>
      <x:c r="H20" s="35" t="n">
        <x:v>9</x:v>
      </x:c>
      <x:c r="I20" s="35" t="n">
        <x:v>3</x:v>
      </x:c>
      <x:c r="J20" s="35" t="n">
        <x:v>0</x:v>
      </x:c>
      <x:c r="K20" s="35" t="str">
        <x:v>변경 컬럼 기준으로 코드 수정</x:v>
      </x:c>
      <x:c r="L20" s="35" t="str">
        <x:v>P2</x:v>
      </x:c>
      <x:c r="M20" s="35" t="str">
        <x:v>미착수</x:v>
      </x:c>
      <x:c r="N20" s="35" t="str"/>
    </x:row>
    <x:row r="21">
      <x:c r="A21" s="35" t="n">
        <x:v>17</x:v>
      </x:c>
      <x:c r="B21" s="35" t="str">
        <x:v>SYS_SITE_CFG_GRP</x:v>
      </x:c>
      <x:c r="C21" s="35" t="str">
        <x:v>SYS_SITE_CFG_GRP</x:v>
      </x:c>
      <x:c r="D21" s="35" t="str">
        <x:v>테이블 유지</x:v>
      </x:c>
      <x:c r="E21" s="35" t="str"/>
      <x:c r="F21" s="35" t="str">
        <x:v>사이트 환경 설정 그룹</x:v>
      </x:c>
      <x:c r="G21" s="35" t="n">
        <x:v>7</x:v>
      </x:c>
      <x:c r="H21" s="35" t="n">
        <x:v>7</x:v>
      </x:c>
      <x:c r="I21" s="35" t="n">
        <x:v>3</x:v>
      </x:c>
      <x:c r="J21" s="35" t="n">
        <x:v>0</x:v>
      </x:c>
      <x:c r="K21" s="35" t="str">
        <x:v>변경 컬럼 기준으로 코드 수정</x:v>
      </x:c>
      <x:c r="L21" s="35" t="str">
        <x:v>P2</x:v>
      </x:c>
      <x:c r="M21" s="35" t="str">
        <x:v>미착수</x:v>
      </x:c>
      <x:c r="N21" s="35" t="str"/>
    </x:row>
    <x:row r="22">
      <x:c r="A22" s="35" t="n">
        <x:v>18</x:v>
      </x:c>
      <x:c r="B22" s="35" t="str">
        <x:v>SYS_TOKEN_SEQ</x:v>
      </x:c>
      <x:c r="C22" s="35" t="str">
        <x:v>SYS_TOKEN_SEQ</x:v>
      </x:c>
      <x:c r="D22" s="35" t="str">
        <x:v>테이블 유지</x:v>
      </x:c>
      <x:c r="E22" s="35" t="str"/>
      <x:c r="F22" s="35" t="str">
        <x:v>토큰 시퀀스</x:v>
      </x:c>
      <x:c r="G22" s="35" t="n">
        <x:v>8</x:v>
      </x:c>
      <x:c r="H22" s="35" t="n">
        <x:v>8</x:v>
      </x:c>
      <x:c r="I22" s="35" t="n">
        <x:v>9</x:v>
      </x:c>
      <x:c r="J22" s="35" t="n">
        <x:v>2</x:v>
      </x:c>
      <x:c r="K22" s="35" t="str">
        <x:v>변경 컬럼 기준으로 코드 수정</x:v>
      </x:c>
      <x:c r="L22" s="35" t="str">
        <x:v>P1</x:v>
      </x:c>
      <x:c r="M22" s="35" t="str">
        <x:v>미착수</x:v>
      </x:c>
      <x:c r="N22" s="35" t="str"/>
    </x:row>
    <x:row r="23">
      <x:c r="A23" s="35" t="n">
        <x:v>19</x:v>
      </x:c>
      <x:c r="B23" s="35" t="str">
        <x:v>SYS_USER</x:v>
      </x:c>
      <x:c r="C23" s="35" t="str">
        <x:v>SYS_USER</x:v>
      </x:c>
      <x:c r="D23" s="35" t="str">
        <x:v>테이블 유지</x:v>
      </x:c>
      <x:c r="E23" s="35" t="str">
        <x:v>사용자관리</x:v>
      </x:c>
      <x:c r="F23" s="35" t="str">
        <x:v>시스템사용자</x:v>
      </x:c>
      <x:c r="G23" s="35" t="n">
        <x:v>16</x:v>
      </x:c>
      <x:c r="H23" s="35" t="n">
        <x:v>21</x:v>
      </x:c>
      <x:c r="I23" s="35" t="n">
        <x:v>14</x:v>
      </x:c>
      <x:c r="J23" s="35" t="n">
        <x:v>1</x:v>
      </x:c>
      <x:c r="K23" s="35" t="str">
        <x:v>변경 컬럼 기준으로 코드 수정</x:v>
      </x:c>
      <x:c r="L23" s="35" t="str">
        <x:v>P1</x:v>
      </x:c>
      <x:c r="M23" s="35" t="str">
        <x:v>미착수</x:v>
      </x:c>
      <x:c r="N23" s="35" t="str"/>
    </x:row>
    <x:row r="24">
      <x:c r="A24" s="35" t="n">
        <x:v>20</x:v>
      </x:c>
      <x:c r="B24" s="35" t="str">
        <x:v>SYS_TOKEN</x:v>
      </x:c>
      <x:c r="C24" s="35" t="str">
        <x:v>SYS_TOKEN</x:v>
      </x:c>
      <x:c r="D24" s="35" t="str">
        <x:v>테이블 유지</x:v>
      </x:c>
      <x:c r="E24" s="35" t="str">
        <x:v>토큰 관리</x:v>
      </x:c>
      <x:c r="F24" s="35" t="str">
        <x:v>토큰 관리</x:v>
      </x:c>
      <x:c r="G24" s="35" t="n">
        <x:v>6</x:v>
      </x:c>
      <x:c r="H24" s="35" t="n">
        <x:v>6</x:v>
      </x:c>
      <x:c r="I24" s="35" t="n">
        <x:v>4</x:v>
      </x:c>
      <x:c r="J24" s="35" t="n">
        <x:v>1</x:v>
      </x:c>
      <x:c r="K24" s="35" t="str">
        <x:v>변경 컬럼 기준으로 코드 수정</x:v>
      </x:c>
      <x:c r="L24" s="35" t="str">
        <x:v>P1</x:v>
      </x:c>
      <x:c r="M24" s="35" t="str">
        <x:v>미착수</x:v>
      </x:c>
      <x:c r="N24" s="35" t="str"/>
    </x:row>
    <x:row r="25">
      <x:c r="A25" s="35" t="n">
        <x:v>21</x:v>
      </x:c>
      <x:c r="B25" s="35" t="str">
        <x:v>SYS_USER_GRP</x:v>
      </x:c>
      <x:c r="C25" s="35" t="str">
        <x:v>SYS_USER_GRP</x:v>
      </x:c>
      <x:c r="D25" s="35" t="str">
        <x:v>테이블 유지</x:v>
      </x:c>
      <x:c r="E25" s="35" t="str">
        <x:v>공통사용자그룹</x:v>
      </x:c>
      <x:c r="F25" s="35" t="str">
        <x:v>공통사용자그룹</x:v>
      </x:c>
      <x:c r="G25" s="35" t="n">
        <x:v>9</x:v>
      </x:c>
      <x:c r="H25" s="35" t="n">
        <x:v>9</x:v>
      </x:c>
      <x:c r="I25" s="35" t="n">
        <x:v>5</x:v>
      </x:c>
      <x:c r="J25" s="35" t="n">
        <x:v>1</x:v>
      </x:c>
      <x:c r="K25" s="35" t="str">
        <x:v>변경 컬럼 기준으로 코드 수정</x:v>
      </x:c>
      <x:c r="L25" s="35" t="str">
        <x:v>P1</x:v>
      </x:c>
      <x:c r="M25" s="35" t="str">
        <x:v>미착수</x:v>
      </x:c>
      <x:c r="N25" s="35" t="str"/>
    </x:row>
    <x:row r="26">
      <x:c r="A26" s="35" t="n">
        <x:v>22</x:v>
      </x:c>
      <x:c r="B26" s="35" t="str"/>
      <x:c r="C26" s="35" t="str">
        <x:v>SYS_ACHV_STNG</x:v>
      </x:c>
      <x:c r="D26" s="35" t="str">
        <x:v>신규</x:v>
      </x:c>
      <x:c r="E26" s="35" t="str"/>
      <x:c r="F26" s="35" t="str">
        <x:v>아카이브기본정보</x:v>
      </x:c>
      <x:c r="G26" s="35" t="n">
        <x:v>0</x:v>
      </x:c>
      <x:c r="H26" s="35" t="n">
        <x:v>10</x:v>
      </x:c>
      <x:c r="I26" s="35" t="n">
        <x:v>10</x:v>
      </x:c>
      <x:c r="J26" s="35" t="n">
        <x:v>0</x:v>
      </x:c>
      <x:c r="K26" s="35" t="str">
        <x:v>신규 테이블용 Entity/Mapper/Repository/API 필요 여부 확인</x:v>
      </x:c>
      <x:c r="L26" s="35" t="str">
        <x:v>P2</x:v>
      </x:c>
      <x:c r="M26" s="35" t="str">
        <x:v>미착수</x:v>
      </x:c>
      <x:c r="N26" s="35" t="str"/>
    </x:row>
  </x:sheetData>
  <x:mergeCells>
    <x:mergeCell ref="A1:N1"/>
    <x:mergeCell ref="A2:N2"/>
  </x:mergeCells>
  <x:dataValidations count="1">
    <x:dataValidation type="list" sqref="M5:M26">
      <x:formula1>"미착수,진행중,완료,보류,해당없음"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7378cdd6e04b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18" hidden="0" customWidth="1"/>
    <x:col min="5" max="5" width="19" hidden="0" customWidth="1"/>
    <x:col min="6" max="6" width="19" hidden="0" customWidth="1"/>
    <x:col min="7" max="7" width="17" hidden="0" customWidth="1"/>
    <x:col min="8" max="8" width="12" hidden="0" customWidth="1"/>
    <x:col min="9" max="9" width="32" hidden="0" customWidth="1"/>
    <x:col min="10" max="10" width="32" hidden="0" customWidth="1"/>
    <x:col min="11" max="11" width="38" hidden="0" customWidth="1"/>
    <x:col min="12" max="12" width="24" hidden="0" customWidth="1"/>
    <x:col min="13" max="13" width="24" hidden="0" customWidth="1"/>
    <x:col min="14" max="14" width="10" hidden="0" customWidth="1"/>
    <x:col min="15" max="15" width="5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4" customHeight="1">
      <x:c r="A1" s="37" t="str">
        <x:v>컬럼별 상세 비교 및 코드 수정 가이드</x:v>
      </x:c>
      <x:c r="B1" s="37" t="str">
        <x:v>컬럼별 상세 비교 및 코드 수정 가이드</x:v>
      </x:c>
      <x:c r="C1" s="37" t="str">
        <x:v>컬럼별 상세 비교 및 코드 수정 가이드</x:v>
      </x:c>
      <x:c r="D1" s="37" t="str">
        <x:v>컬럼별 상세 비교 및 코드 수정 가이드</x:v>
      </x:c>
      <x:c r="E1" s="37" t="str">
        <x:v>컬럼별 상세 비교 및 코드 수정 가이드</x:v>
      </x:c>
      <x:c r="F1" s="37" t="str">
        <x:v>컬럼별 상세 비교 및 코드 수정 가이드</x:v>
      </x:c>
      <x:c r="G1" s="37" t="str">
        <x:v>컬럼별 상세 비교 및 코드 수정 가이드</x:v>
      </x:c>
      <x:c r="H1" s="37" t="str">
        <x:v>컬럼별 상세 비교 및 코드 수정 가이드</x:v>
      </x:c>
      <x:c r="I1" s="37" t="str">
        <x:v>컬럼별 상세 비교 및 코드 수정 가이드</x:v>
      </x:c>
      <x:c r="J1" s="37" t="str">
        <x:v>컬럼별 상세 비교 및 코드 수정 가이드</x:v>
      </x:c>
      <x:c r="K1" s="37" t="str">
        <x:v>컬럼별 상세 비교 및 코드 수정 가이드</x:v>
      </x:c>
      <x:c r="L1" s="37" t="str">
        <x:v>컬럼별 상세 비교 및 코드 수정 가이드</x:v>
      </x:c>
      <x:c r="M1" s="37" t="str">
        <x:v>컬럼별 상세 비교 및 코드 수정 가이드</x:v>
      </x:c>
      <x:c r="N1" s="37" t="str">
        <x:v>컬럼별 상세 비교 및 코드 수정 가이드</x:v>
      </x:c>
      <x:c r="O1" s="37" t="str">
        <x:v>컬럼별 상세 비교 및 코드 수정 가이드</x:v>
      </x:c>
      <x:c r="P1" s="37" t="str">
        <x:v>컬럼별 상세 비교 및 코드 수정 가이드</x:v>
      </x:c>
      <x:c r="Q1" s="37" t="str">
        <x:v>컬럼별 상세 비교 및 코드 수정 가이드</x:v>
      </x:c>
      <x:c r="R1" s="37" t="str">
        <x:v>컬럼별 상세 비교 및 코드 수정 가이드</x:v>
      </x:c>
    </x:row>
    <x:row r="2" ht="24" customHeight="1">
      <x:c r="A2" s="38" t="str">
        <x:v>한 행이 하나의 before→after 컬럼 변경입니다. 변경 유형·영향도·신뢰도로 필터링해 작업하세요.</x:v>
      </x:c>
      <x:c r="B2" s="38" t="str">
        <x:v>한 행이 하나의 before→after 컬럼 변경입니다. 변경 유형·영향도·신뢰도로 필터링해 작업하세요.</x:v>
      </x:c>
      <x:c r="C2" s="38" t="str">
        <x:v>한 행이 하나의 before→after 컬럼 변경입니다. 변경 유형·영향도·신뢰도로 필터링해 작업하세요.</x:v>
      </x:c>
      <x:c r="D2" s="38" t="str">
        <x:v>한 행이 하나의 before→after 컬럼 변경입니다. 변경 유형·영향도·신뢰도로 필터링해 작업하세요.</x:v>
      </x:c>
      <x:c r="E2" s="38" t="str">
        <x:v>한 행이 하나의 before→after 컬럼 변경입니다. 변경 유형·영향도·신뢰도로 필터링해 작업하세요.</x:v>
      </x:c>
      <x:c r="F2" s="38" t="str">
        <x:v>한 행이 하나의 before→after 컬럼 변경입니다. 변경 유형·영향도·신뢰도로 필터링해 작업하세요.</x:v>
      </x:c>
      <x:c r="G2" s="38" t="str">
        <x:v>한 행이 하나의 before→after 컬럼 변경입니다. 변경 유형·영향도·신뢰도로 필터링해 작업하세요.</x:v>
      </x:c>
      <x:c r="H2" s="38" t="str">
        <x:v>한 행이 하나의 before→after 컬럼 변경입니다. 변경 유형·영향도·신뢰도로 필터링해 작업하세요.</x:v>
      </x:c>
      <x:c r="I2" s="38" t="str">
        <x:v>한 행이 하나의 before→after 컬럼 변경입니다. 변경 유형·영향도·신뢰도로 필터링해 작업하세요.</x:v>
      </x:c>
      <x:c r="J2" s="38" t="str">
        <x:v>한 행이 하나의 before→after 컬럼 변경입니다. 변경 유형·영향도·신뢰도로 필터링해 작업하세요.</x:v>
      </x:c>
      <x:c r="K2" s="38" t="str">
        <x:v>한 행이 하나의 before→after 컬럼 변경입니다. 변경 유형·영향도·신뢰도로 필터링해 작업하세요.</x:v>
      </x:c>
      <x:c r="L2" s="38" t="str">
        <x:v>한 행이 하나의 before→after 컬럼 변경입니다. 변경 유형·영향도·신뢰도로 필터링해 작업하세요.</x:v>
      </x:c>
      <x:c r="M2" s="38" t="str">
        <x:v>한 행이 하나의 before→after 컬럼 변경입니다. 변경 유형·영향도·신뢰도로 필터링해 작업하세요.</x:v>
      </x:c>
      <x:c r="N2" s="38" t="str">
        <x:v>한 행이 하나의 before→after 컬럼 변경입니다. 변경 유형·영향도·신뢰도로 필터링해 작업하세요.</x:v>
      </x:c>
      <x:c r="O2" s="38" t="str">
        <x:v>한 행이 하나의 before→after 컬럼 변경입니다. 변경 유형·영향도·신뢰도로 필터링해 작업하세요.</x:v>
      </x:c>
      <x:c r="P2" s="38" t="str">
        <x:v>한 행이 하나의 before→after 컬럼 변경입니다. 변경 유형·영향도·신뢰도로 필터링해 작업하세요.</x:v>
      </x:c>
      <x:c r="Q2" s="38" t="str">
        <x:v>한 행이 하나의 before→after 컬럼 변경입니다. 변경 유형·영향도·신뢰도로 필터링해 작업하세요.</x:v>
      </x:c>
      <x:c r="R2" s="38" t="str">
        <x:v>한 행이 하나의 before→after 컬럼 변경입니다. 변경 유형·영향도·신뢰도로 필터링해 작업하세요.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테이블 상태</x:v>
      </x:c>
      <x:c r="E4" s="40" t="str">
        <x:v>Before 컬럼</x:v>
      </x:c>
      <x:c r="F4" s="40" t="str">
        <x:v>After 컬럼</x:v>
      </x:c>
      <x:c r="G4" s="40" t="str">
        <x:v>변경 유형</x:v>
      </x:c>
      <x:c r="H4" s="40" t="str">
        <x:v>매핑 신뢰도</x:v>
      </x:c>
      <x:c r="I4" s="40" t="str">
        <x:v>Before 정의</x:v>
      </x:c>
      <x:c r="J4" s="40" t="str">
        <x:v>After 정의</x:v>
      </x:c>
      <x:c r="K4" s="40" t="str">
        <x:v>정의 차이</x:v>
      </x:c>
      <x:c r="L4" s="40" t="str">
        <x:v>Before 설명</x:v>
      </x:c>
      <x:c r="M4" s="40" t="str">
        <x:v>After 설명</x:v>
      </x:c>
      <x:c r="N4" s="40" t="str">
        <x:v>영향도</x:v>
      </x:c>
      <x:c r="O4" s="40" t="str">
        <x:v>필요 작업</x:v>
      </x:c>
      <x:c r="P4" s="40" t="str">
        <x:v>상태</x:v>
      </x:c>
      <x:c r="Q4" s="40" t="str">
        <x:v>담당자</x:v>
      </x:c>
      <x:c r="R4" s="40" t="str">
        <x:v>비고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테이블 유지</x:v>
      </x:c>
      <x:c r="E5" s="35" t="str">
        <x:v>MENU_CD</x:v>
      </x:c>
      <x:c r="F5" s="35" t="str">
        <x:v>MENU_CD</x:v>
      </x:c>
      <x:c r="G5" s="35" t="str">
        <x:v>유지</x:v>
      </x:c>
      <x:c r="H5" s="35" t="str">
        <x:v>확실</x:v>
      </x:c>
      <x:c r="I5" s="35" t="str">
        <x:v>VARCHAR(100) | NOT NULL | PK</x:v>
      </x:c>
      <x:c r="J5" s="35" t="str">
        <x:v>VARCHAR(100) | NOT NULL | PK</x:v>
      </x:c>
      <x:c r="K5" s="35" t="str">
        <x:v>동일</x:v>
      </x:c>
      <x:c r="L5" s="35" t="str">
        <x:v>메뉴코드</x:v>
      </x:c>
      <x:c r="M5" s="35" t="str">
        <x:v>메뉴코드</x:v>
      </x:c>
      <x:c r="N5" s="35" t="str">
        <x:v>낮음</x:v>
      </x:c>
      <x:c r="O5" s="35" t="str">
        <x:v>코드 변경 불필요. 회귀 테스트만 수행</x:v>
      </x:c>
      <x:c r="P5" s="35" t="str">
        <x:v>해당없음</x:v>
      </x:c>
      <x:c r="Q5" s="35" t="str"/>
      <x:c r="R5" s="35" t="str"/>
    </x:row>
    <x:row r="6">
      <x:c r="A6" s="35" t="n">
        <x:v>2</x:v>
      </x:c>
      <x:c r="B6" s="35" t="str">
        <x:v>SYS_ACS_GRP_MENU</x:v>
      </x:c>
      <x:c r="C6" s="35" t="str">
        <x:v>SYS_ACS_GRP_MENU</x:v>
      </x:c>
      <x:c r="D6" s="35" t="str">
        <x:v>테이블 유지</x:v>
      </x:c>
      <x:c r="E6" s="35" t="str">
        <x:v>ACS_RTS_GRP_ID</x:v>
      </x:c>
      <x:c r="F6" s="35" t="str">
        <x:v>GRP_ID</x:v>
      </x:c>
      <x:c r="G6" s="35" t="str">
        <x:v>이름변경</x:v>
      </x:c>
      <x:c r="H6" s="35" t="str">
        <x:v>높음</x:v>
      </x:c>
      <x:c r="I6" s="35" t="str">
        <x:v>VARCHAR(100) | NOT NULL | PK</x:v>
      </x:c>
      <x:c r="J6" s="35" t="str">
        <x:v>VARCHAR(100) | NOT NULL | PK</x:v>
      </x:c>
      <x:c r="K6" s="35" t="str">
        <x:v>ACS_RTS_GRP_ID → GRP_ID</x:v>
      </x:c>
      <x:c r="L6" s="35" t="str">
        <x:v>권한그룹 아이디</x:v>
      </x:c>
      <x:c r="M6" s="35" t="str">
        <x:v>그룹아이디</x:v>
      </x:c>
      <x:c r="N6" s="35" t="str">
        <x:v>중간</x:v>
      </x:c>
      <x:c r="O6" s="35" t="str">
        <x:v>SYS_ACS_GRP_MENU.ACS_RTS_GRP_ID 참조를 SYS_ACS_GRP_MENU.GRP_ID로 변경하고 SQL alias/직렬화 명칭 점검</x:v>
      </x:c>
      <x:c r="P6" s="35" t="str">
        <x:v>미착수</x:v>
      </x:c>
      <x:c r="Q6" s="35" t="str"/>
      <x:c r="R6" s="35" t="str"/>
    </x:row>
    <x:row r="7">
      <x:c r="A7" s="35" t="n">
        <x:v>3</x:v>
      </x:c>
      <x:c r="B7" s="35" t="str">
        <x:v>SYS_ACS_GRP_MENU</x:v>
      </x:c>
      <x:c r="C7" s="35" t="str">
        <x:v>SYS_ACS_GRP_MENU</x:v>
      </x:c>
      <x:c r="D7" s="35" t="str">
        <x:v>테이블 유지</x:v>
      </x:c>
      <x:c r="E7" s="35" t="str">
        <x:v>SYS_CRT_DT</x:v>
      </x:c>
      <x:c r="F7" s="35" t="str">
        <x:v>SYS_GEN_DT</x:v>
      </x:c>
      <x:c r="G7" s="35" t="str">
        <x:v>이름변경</x:v>
      </x:c>
      <x:c r="H7" s="35" t="str">
        <x:v>높음</x:v>
      </x:c>
      <x:c r="I7" s="35" t="str">
        <x:v>DATETIME | NULL</x:v>
      </x:c>
      <x:c r="J7" s="35" t="str">
        <x:v>DATETIME | NULL</x:v>
      </x:c>
      <x:c r="K7" s="35" t="str">
        <x:v>SYS_CRT_DT → SYS_GEN_DT</x:v>
      </x:c>
      <x:c r="L7" s="35" t="str">
        <x:v>작성일자</x:v>
      </x:c>
      <x:c r="M7" s="35" t="str">
        <x:v>시스템생성일시</x:v>
      </x:c>
      <x:c r="N7" s="35" t="str">
        <x:v>중간</x:v>
      </x:c>
      <x:c r="O7" s="35" t="str">
        <x:v>SYS_ACS_GRP_MENU.SYS_CRT_DT 참조를 SYS_ACS_GRP_MENU.SYS_GEN_DT로 변경하고 SQL alias/직렬화 명칭 점검</x:v>
      </x:c>
      <x:c r="P7" s="35" t="str">
        <x:v>미착수</x:v>
      </x:c>
      <x:c r="Q7" s="35" t="str"/>
      <x:c r="R7" s="35" t="str"/>
    </x:row>
    <x:row r="8">
      <x:c r="A8" s="35" t="n">
        <x:v>4</x:v>
      </x:c>
      <x:c r="B8" s="35" t="str">
        <x:v>SYS_ACS_GRP_MENU</x:v>
      </x:c>
      <x:c r="C8" s="35" t="str">
        <x:v>SYS_ACS_GRP_MENU</x:v>
      </x:c>
      <x:c r="D8" s="35" t="str">
        <x:v>테이블 유지</x:v>
      </x:c>
      <x:c r="E8" s="35" t="str">
        <x:v>SYS_CRT_USR_ID</x:v>
      </x:c>
      <x:c r="F8" s="35" t="str">
        <x:v>SYS_CRT_USR_ID</x:v>
      </x:c>
      <x:c r="G8" s="35" t="str">
        <x:v>유지</x:v>
      </x:c>
      <x:c r="H8" s="35" t="str">
        <x:v>확실</x:v>
      </x:c>
      <x:c r="I8" s="35" t="str">
        <x:v>VARCHAR(50) | NULL</x:v>
      </x:c>
      <x:c r="J8" s="35" t="str">
        <x:v>VARCHAR(50) | NULL</x:v>
      </x:c>
      <x:c r="K8" s="35" t="str">
        <x:v>동일</x:v>
      </x:c>
      <x:c r="L8" s="35" t="str">
        <x:v>작성자ID</x:v>
      </x:c>
      <x:c r="M8" s="35" t="str">
        <x:v>시스템생성자ID</x:v>
      </x:c>
      <x:c r="N8" s="35" t="str">
        <x:v>낮음</x:v>
      </x:c>
      <x:c r="O8" s="35" t="str">
        <x:v>코드 변경 불필요. 회귀 테스트만 수행</x:v>
      </x:c>
      <x:c r="P8" s="35" t="str">
        <x:v>해당없음</x:v>
      </x:c>
      <x:c r="Q8" s="35" t="str"/>
      <x:c r="R8" s="35" t="str"/>
    </x:row>
    <x:row r="9">
      <x:c r="A9" s="35" t="n">
        <x:v>5</x:v>
      </x:c>
      <x:c r="B9" s="35" t="str">
        <x:v>SYS_ACS_GRP_MENU</x:v>
      </x:c>
      <x:c r="C9" s="35" t="str">
        <x:v>SYS_ACS_GRP_MENU</x:v>
      </x:c>
      <x:c r="D9" s="35" t="str">
        <x:v>테이블 유지</x:v>
      </x:c>
      <x:c r="E9" s="35" t="str">
        <x:v>SYS_UPD_DT</x:v>
      </x:c>
      <x:c r="F9" s="35" t="str">
        <x:v>SYS_MDFCN_DT</x:v>
      </x:c>
      <x:c r="G9" s="35" t="str">
        <x:v>이름변경</x:v>
      </x:c>
      <x:c r="H9" s="35" t="str">
        <x:v>높음</x:v>
      </x:c>
      <x:c r="I9" s="35" t="str">
        <x:v>DATETIME | NULL</x:v>
      </x:c>
      <x:c r="J9" s="35" t="str">
        <x:v>DATETIME | NULL</x:v>
      </x:c>
      <x:c r="K9" s="35" t="str">
        <x:v>SYS_UPD_DT → SYS_MDFCN_DT</x:v>
      </x:c>
      <x:c r="L9" s="35" t="str">
        <x:v>수정일자</x:v>
      </x:c>
      <x:c r="M9" s="35" t="str">
        <x:v>시스템수정일시</x:v>
      </x:c>
      <x:c r="N9" s="35" t="str">
        <x:v>중간</x:v>
      </x:c>
      <x:c r="O9" s="35" t="str">
        <x:v>SYS_ACS_GRP_MENU.SYS_UPD_DT 참조를 SYS_ACS_GRP_MENU.SYS_MDFCN_DT로 변경하고 SQL alias/직렬화 명칭 점검</x:v>
      </x:c>
      <x:c r="P9" s="35" t="str">
        <x:v>미착수</x:v>
      </x:c>
      <x:c r="Q9" s="35" t="str"/>
      <x:c r="R9" s="35" t="str"/>
    </x:row>
    <x:row r="10">
      <x:c r="A10" s="35" t="n">
        <x:v>6</x:v>
      </x:c>
      <x:c r="B10" s="35" t="str">
        <x:v>SYS_ACS_GRP_MENU</x:v>
      </x:c>
      <x:c r="C10" s="35" t="str">
        <x:v>SYS_ACS_GRP_MENU</x:v>
      </x:c>
      <x:c r="D10" s="35" t="str">
        <x:v>테이블 유지</x:v>
      </x:c>
      <x:c r="E10" s="35" t="str">
        <x:v>SYS_UPD_USR_ID</x:v>
      </x:c>
      <x:c r="F10" s="35" t="str">
        <x:v>SYS_MDFR_ID</x:v>
      </x:c>
      <x:c r="G10" s="35" t="str">
        <x:v>이름+정의 변경</x:v>
      </x:c>
      <x:c r="H10" s="35" t="str">
        <x:v>높음</x:v>
      </x:c>
      <x:c r="I10" s="35" t="str">
        <x:v>VARCHAR(50) | NULL</x:v>
      </x:c>
      <x:c r="J10" s="35" t="str">
        <x:v>VARCHAR(20) | NULL</x:v>
      </x:c>
      <x:c r="K10" s="35" t="str">
        <x:v>VARCHAR(50) → VARCHAR(20)</x:v>
      </x:c>
      <x:c r="L10" s="35" t="str">
        <x:v>수정자ID</x:v>
      </x:c>
      <x:c r="M10" s="35" t="str">
        <x:v>시스템수정자ID</x:v>
      </x:c>
      <x:c r="N10" s="35" t="str">
        <x:v>낮음</x:v>
      </x:c>
      <x:c r="O10" s="35" t="str">
        <x:v>코드 변경 불필요. 회귀 테스트만 수행</x:v>
      </x:c>
      <x:c r="P10" s="35" t="str">
        <x:v>미착수</x:v>
      </x:c>
      <x:c r="Q10" s="35" t="str"/>
      <x:c r="R10" s="35" t="str"/>
    </x:row>
    <x:row r="11">
      <x:c r="A11" s="35" t="n">
        <x:v>7</x:v>
      </x:c>
      <x:c r="B11" s="35" t="str">
        <x:v>SYS_ACS_LOG</x:v>
      </x:c>
      <x:c r="C11" s="35" t="str">
        <x:v>SYS_ACS_LOG</x:v>
      </x:c>
      <x:c r="D11" s="35" t="str">
        <x:v>테이블 유지</x:v>
      </x:c>
      <x:c r="E11" s="35" t="str">
        <x:v>ID</x:v>
      </x:c>
      <x:c r="F11" s="35" t="str">
        <x:v>ID</x:v>
      </x:c>
      <x:c r="G11" s="35" t="str">
        <x:v>유지</x:v>
      </x:c>
      <x:c r="H11" s="35" t="str">
        <x:v>확실</x:v>
      </x:c>
      <x:c r="I11" s="35" t="str">
        <x:v>VARCHAR(50) | NOT NULL | PK</x:v>
      </x:c>
      <x:c r="J11" s="35" t="str">
        <x:v>VARCHAR(50) | NOT NULL | PK</x:v>
      </x:c>
      <x:c r="K11" s="35" t="str">
        <x:v>동일</x:v>
      </x:c>
      <x:c r="L11" s="35" t="str">
        <x:v>접속 고유 ID</x:v>
      </x:c>
      <x:c r="M11" s="35" t="str">
        <x:v>ID</x:v>
      </x:c>
      <x:c r="N11" s="35" t="str">
        <x:v>낮음</x:v>
      </x:c>
      <x:c r="O11" s="35" t="str">
        <x:v>코드 변경 불필요. 회귀 테스트만 수행</x:v>
      </x:c>
      <x:c r="P11" s="35" t="str">
        <x:v>해당없음</x:v>
      </x:c>
      <x:c r="Q11" s="35" t="str"/>
      <x:c r="R11" s="35" t="str"/>
    </x:row>
    <x:row r="12">
      <x:c r="A12" s="35" t="n">
        <x:v>8</x:v>
      </x:c>
      <x:c r="B12" s="35" t="str">
        <x:v>SYS_ACS_LOG</x:v>
      </x:c>
      <x:c r="C12" s="35" t="str">
        <x:v>SYS_ACS_LOG</x:v>
      </x:c>
      <x:c r="D12" s="35" t="str">
        <x:v>테이블 유지</x:v>
      </x:c>
      <x:c r="E12" s="35" t="str">
        <x:v>USER_ID</x:v>
      </x:c>
      <x:c r="F12" s="35" t="str">
        <x:v>USER_ID</x:v>
      </x:c>
      <x:c r="G12" s="35" t="str">
        <x:v>유지</x:v>
      </x:c>
      <x:c r="H12" s="35" t="str">
        <x:v>확실</x:v>
      </x:c>
      <x:c r="I12" s="35" t="str">
        <x:v>VARCHAR(50) | NOT NULL</x:v>
      </x:c>
      <x:c r="J12" s="35" t="str">
        <x:v>VARCHAR(50) | NOT NULL</x:v>
      </x:c>
      <x:c r="K12" s="35" t="str">
        <x:v>동일</x:v>
      </x:c>
      <x:c r="L12" s="35" t="str">
        <x:v>접속 사용자 ID</x:v>
      </x:c>
      <x:c r="M12" s="35" t="str">
        <x:v>사용자ID</x:v>
      </x:c>
      <x:c r="N12" s="35" t="str">
        <x:v>낮음</x:v>
      </x:c>
      <x:c r="O12" s="35" t="str">
        <x:v>코드 변경 불필요. 회귀 테스트만 수행</x:v>
      </x:c>
      <x:c r="P12" s="35" t="str">
        <x:v>해당없음</x:v>
      </x:c>
      <x:c r="Q12" s="35" t="str"/>
      <x:c r="R12" s="35" t="str"/>
    </x:row>
    <x:row r="13">
      <x:c r="A13" s="35" t="n">
        <x:v>9</x:v>
      </x:c>
      <x:c r="B13" s="35" t="str">
        <x:v>SYS_ACS_LOG</x:v>
      </x:c>
      <x:c r="C13" s="35" t="str">
        <x:v>SYS_ACS_LOG</x:v>
      </x:c>
      <x:c r="D13" s="35" t="str">
        <x:v>테이블 유지</x:v>
      </x:c>
      <x:c r="E13" s="35" t="str">
        <x:v>EMAIL</x:v>
      </x:c>
      <x:c r="F13" s="35" t="str">
        <x:v>UP_GRP_ID</x:v>
      </x:c>
      <x:c r="G13" s="35" t="str">
        <x:v>이름변경</x:v>
      </x:c>
      <x:c r="H13" s="35" t="str">
        <x:v>낮음</x:v>
      </x:c>
      <x:c r="I13" s="35" t="str">
        <x:v>VARCHAR(50) | NOT NULL</x:v>
      </x:c>
      <x:c r="J13" s="35" t="str">
        <x:v>VARCHAR(50) | NOT NULL</x:v>
      </x:c>
      <x:c r="K13" s="35" t="str">
        <x:v>EMAIL → UP_GRP_ID</x:v>
      </x:c>
      <x:c r="L13" s="35" t="str">
        <x:v>접속 사용자 Email</x:v>
      </x:c>
      <x:c r="M13" s="35" t="str">
        <x:v>상위그룹ID</x:v>
      </x:c>
      <x:c r="N13" s="35" t="str">
        <x:v>높음</x:v>
      </x:c>
      <x:c r="O13" s="35" t="str">
        <x:v>SYS_ACS_LOG.EMAIL 참조를 SYS_ACS_LOG.UP_GRP_ID로 변경하고 SQL alias/직렬화 명칭 점검</x:v>
      </x:c>
      <x:c r="P13" s="35" t="str">
        <x:v>미착수</x:v>
      </x:c>
      <x:c r="Q13" s="35" t="str"/>
      <x:c r="R13" s="35" t="str">
        <x:v>업무 의미가 달라 보이므로 설계자 확인 필요</x:v>
      </x:c>
    </x:row>
    <x:row r="14">
      <x:c r="A14" s="35" t="n">
        <x:v>10</x:v>
      </x:c>
      <x:c r="B14" s="35" t="str">
        <x:v>SYS_ACS_LOG</x:v>
      </x:c>
      <x:c r="C14" s="35" t="str">
        <x:v>SYS_ACS_LOG</x:v>
      </x:c>
      <x:c r="D14" s="35" t="str">
        <x:v>테이블 유지</x:v>
      </x:c>
      <x:c r="E14" s="35" t="str">
        <x:v>SYS_LOGIN_DT</x:v>
      </x:c>
      <x:c r="F14" s="35" t="str">
        <x:v>SYS_LGN_DT</x:v>
      </x:c>
      <x:c r="G14" s="35" t="str">
        <x:v>이름변경</x:v>
      </x:c>
      <x:c r="H14" s="35" t="str">
        <x:v>높음</x:v>
      </x:c>
      <x:c r="I14" s="35" t="str">
        <x:v>DATETIME | NOT NULL | PK</x:v>
      </x:c>
      <x:c r="J14" s="35" t="str">
        <x:v>DATETIME | NOT NULL | PK</x:v>
      </x:c>
      <x:c r="K14" s="35" t="str">
        <x:v>SYS_LOGIN_DT → SYS_LGN_DT</x:v>
      </x:c>
      <x:c r="L14" s="35" t="str"/>
      <x:c r="M14" s="35" t="str">
        <x:v>시스템로그인일시</x:v>
      </x:c>
      <x:c r="N14" s="35" t="str">
        <x:v>중간</x:v>
      </x:c>
      <x:c r="O14" s="35" t="str">
        <x:v>SYS_ACS_LOG.SYS_LOGIN_DT 참조를 SYS_ACS_LOG.SYS_LGN_DT로 변경하고 SQL alias/직렬화 명칭 점검</x:v>
      </x:c>
      <x:c r="P14" s="35" t="str">
        <x:v>미착수</x:v>
      </x:c>
      <x:c r="Q14" s="35" t="str"/>
      <x:c r="R14" s="35" t="str"/>
    </x:row>
    <x:row r="15">
      <x:c r="A15" s="35" t="n">
        <x:v>11</x:v>
      </x:c>
      <x:c r="B15" s="35" t="str">
        <x:v>SYS_ACS_LOG</x:v>
      </x:c>
      <x:c r="C15" s="35" t="str">
        <x:v>SYS_ACS_LOG</x:v>
      </x:c>
      <x:c r="D15" s="35" t="str">
        <x:v>테이블 유지</x:v>
      </x:c>
      <x:c r="E15" s="35" t="str">
        <x:v>SYS_LOGOUT_DT</x:v>
      </x:c>
      <x:c r="F15" s="35" t="str">
        <x:v>SYS_LGT_DT</x:v>
      </x:c>
      <x:c r="G15" s="35" t="str">
        <x:v>이름변경</x:v>
      </x:c>
      <x:c r="H15" s="35" t="str">
        <x:v>높음</x:v>
      </x:c>
      <x:c r="I15" s="35" t="str">
        <x:v>TIMESTAMP | NULL</x:v>
      </x:c>
      <x:c r="J15" s="35" t="str">
        <x:v>TIMESTAMP | NULL</x:v>
      </x:c>
      <x:c r="K15" s="35" t="str">
        <x:v>SYS_LOGOUT_DT → SYS_LGT_DT</x:v>
      </x:c>
      <x:c r="L15" s="35" t="str">
        <x:v>로그아웃 일시</x:v>
      </x:c>
      <x:c r="M15" s="35" t="str">
        <x:v>로그아웃일시</x:v>
      </x:c>
      <x:c r="N15" s="35" t="str">
        <x:v>중간</x:v>
      </x:c>
      <x:c r="O15" s="35" t="str">
        <x:v>SYS_ACS_LOG.SYS_LOGOUT_DT 참조를 SYS_ACS_LOG.SYS_LGT_DT로 변경하고 SQL alias/직렬화 명칭 점검</x:v>
      </x:c>
      <x:c r="P15" s="35" t="str">
        <x:v>미착수</x:v>
      </x:c>
      <x:c r="Q15" s="35" t="str"/>
      <x:c r="R15" s="35" t="str"/>
    </x:row>
    <x:row r="16">
      <x:c r="A16" s="35" t="n">
        <x:v>12</x:v>
      </x:c>
      <x:c r="B16" s="35" t="str">
        <x:v>SYS_ACS_LOG</x:v>
      </x:c>
      <x:c r="C16" s="35" t="str">
        <x:v>SYS_ACS_LOG</x:v>
      </x:c>
      <x:c r="D16" s="35" t="str">
        <x:v>테이블 유지</x:v>
      </x:c>
      <x:c r="E16" s="35" t="str">
        <x:v>IP_ADDR</x:v>
      </x:c>
      <x:c r="F16" s="35" t="str">
        <x:v>IP_ADDR</x:v>
      </x:c>
      <x:c r="G16" s="35" t="str">
        <x:v>유지</x:v>
      </x:c>
      <x:c r="H16" s="35" t="str">
        <x:v>확실</x:v>
      </x:c>
      <x:c r="I16" s="35" t="str">
        <x:v>VARCHAR(45) | NOT NULL</x:v>
      </x:c>
      <x:c r="J16" s="35" t="str">
        <x:v>VARCHAR(45) | NOT NULL</x:v>
      </x:c>
      <x:c r="K16" s="35" t="str">
        <x:v>동일</x:v>
      </x:c>
      <x:c r="L16" s="35" t="str">
        <x:v>접속 IP</x:v>
      </x:c>
      <x:c r="M16" s="35" t="str">
        <x:v>접속IP</x:v>
      </x:c>
      <x:c r="N16" s="35" t="str">
        <x:v>낮음</x:v>
      </x:c>
      <x:c r="O16" s="35" t="str">
        <x:v>코드 변경 불필요. 회귀 테스트만 수행</x:v>
      </x:c>
      <x:c r="P16" s="35" t="str">
        <x:v>해당없음</x:v>
      </x:c>
      <x:c r="Q16" s="35" t="str"/>
      <x:c r="R16" s="35" t="str"/>
    </x:row>
    <x:row r="17">
      <x:c r="A17" s="35" t="n">
        <x:v>13</x:v>
      </x:c>
      <x:c r="B17" s="35" t="str">
        <x:v>SYS_ACS_LOG</x:v>
      </x:c>
      <x:c r="C17" s="35" t="str">
        <x:v>SYS_ACS_LOG</x:v>
      </x:c>
      <x:c r="D17" s="35" t="str">
        <x:v>테이블 유지</x:v>
      </x:c>
      <x:c r="E17" s="35" t="str">
        <x:v>DEV_TYPE</x:v>
      </x:c>
      <x:c r="F17" s="35" t="str">
        <x:v>ISTR_TYPE</x:v>
      </x:c>
      <x:c r="G17" s="35" t="str">
        <x:v>이름+정의 변경</x:v>
      </x:c>
      <x:c r="H17" s="35" t="str">
        <x:v>높음</x:v>
      </x:c>
      <x:c r="I17" s="35" t="str">
        <x:v>ENUM ('PC', 'MOBILE', 'TABLET', 'OTHER') | NULL | DEFAULT 'PC'</x:v>
      </x:c>
      <x:c r="J17" s="35" t="str">
        <x:v>ENUM | NULL | DEFAULT 'PC'</x:v>
      </x:c>
      <x:c r="K17" s="35" t="str">
        <x:v>ENUM ('PC', 'MOBILE', 'TABLET', 'OTHER') → ENUM</x:v>
      </x:c>
      <x:c r="L17" s="35" t="str">
        <x:v>기기 유형</x:v>
      </x:c>
      <x:c r="M17" s="35" t="str">
        <x:v>기기유형</x:v>
      </x:c>
      <x:c r="N17" s="35" t="str">
        <x:v>낮음</x:v>
      </x:c>
      <x:c r="O17" s="35" t="str">
        <x:v>코드 변경 불필요. 회귀 테스트만 수행</x:v>
      </x:c>
      <x:c r="P17" s="35" t="str">
        <x:v>미착수</x:v>
      </x:c>
      <x:c r="Q17" s="35" t="str"/>
      <x:c r="R17" s="35" t="str"/>
    </x:row>
    <x:row r="18">
      <x:c r="A18" s="35" t="n">
        <x:v>14</x:v>
      </x:c>
      <x:c r="B18" s="35" t="str">
        <x:v>SYS_ACS_LOG</x:v>
      </x:c>
      <x:c r="C18" s="35" t="str">
        <x:v>SYS_ACS_LOG</x:v>
      </x:c>
      <x:c r="D18" s="35" t="str">
        <x:v>테이블 유지</x:v>
      </x:c>
      <x:c r="E18" s="35" t="str">
        <x:v>OS_NM</x:v>
      </x:c>
      <x:c r="F18" s="35" t="str">
        <x:v>OS_NM</x:v>
      </x:c>
      <x:c r="G18" s="35" t="str">
        <x:v>유지</x:v>
      </x:c>
      <x:c r="H18" s="35" t="str">
        <x:v>확실</x:v>
      </x:c>
      <x:c r="I18" s="35" t="str">
        <x:v>VARCHAR(50) | NULL</x:v>
      </x:c>
      <x:c r="J18" s="35" t="str">
        <x:v>VARCHAR(50) | NULL</x:v>
      </x:c>
      <x:c r="K18" s="35" t="str">
        <x:v>동일</x:v>
      </x:c>
      <x:c r="L18" s="35" t="str">
        <x:v>운영체제 (Windows, Android 등)</x:v>
      </x:c>
      <x:c r="M18" s="35" t="str">
        <x:v>운영체제(Windows,Android등)</x:v>
      </x:c>
      <x:c r="N18" s="35" t="str">
        <x:v>낮음</x:v>
      </x:c>
      <x:c r="O18" s="35" t="str">
        <x:v>코드 변경 불필요. 회귀 테스트만 수행</x:v>
      </x:c>
      <x:c r="P18" s="35" t="str">
        <x:v>해당없음</x:v>
      </x:c>
      <x:c r="Q18" s="35" t="str"/>
      <x:c r="R18" s="35" t="str"/>
    </x:row>
    <x:row r="19">
      <x:c r="A19" s="35" t="n">
        <x:v>15</x:v>
      </x:c>
      <x:c r="B19" s="35" t="str">
        <x:v>SYS_ACS_LOG</x:v>
      </x:c>
      <x:c r="C19" s="35" t="str">
        <x:v>SYS_ACS_LOG</x:v>
      </x:c>
      <x:c r="D19" s="35" t="str">
        <x:v>테이블 유지</x:v>
      </x:c>
      <x:c r="E19" s="35" t="str">
        <x:v>BRWSR_NM</x:v>
      </x:c>
      <x:c r="F19" s="35" t="str">
        <x:v>BRWSR_NM</x:v>
      </x:c>
      <x:c r="G19" s="35" t="str">
        <x:v>유지</x:v>
      </x:c>
      <x:c r="H19" s="35" t="str">
        <x:v>확실</x:v>
      </x:c>
      <x:c r="I19" s="35" t="str">
        <x:v>VARCHAR(50) | NULL</x:v>
      </x:c>
      <x:c r="J19" s="35" t="str">
        <x:v>VARCHAR(50) | NULL</x:v>
      </x:c>
      <x:c r="K19" s="35" t="str">
        <x:v>동일</x:v>
      </x:c>
      <x:c r="L19" s="35" t="str">
        <x:v>브라우저 (Chrome, Safari 등)</x:v>
      </x:c>
      <x:c r="M19" s="35" t="str">
        <x:v>브라우저(Chrome,Safari등)</x:v>
      </x:c>
      <x:c r="N19" s="35" t="str">
        <x:v>낮음</x:v>
      </x:c>
      <x:c r="O19" s="35" t="str">
        <x:v>코드 변경 불필요. 회귀 테스트만 수행</x:v>
      </x:c>
      <x:c r="P19" s="35" t="str">
        <x:v>해당없음</x:v>
      </x:c>
      <x:c r="Q19" s="35" t="str"/>
      <x:c r="R19" s="35" t="str"/>
    </x:row>
    <x:row r="20">
      <x:c r="A20" s="35" t="n">
        <x:v>16</x:v>
      </x:c>
      <x:c r="B20" s="35" t="str">
        <x:v>SYS_BBS_MST</x:v>
      </x:c>
      <x:c r="C20" s="35" t="str">
        <x:v>SYS_BBS_MST</x:v>
      </x:c>
      <x:c r="D20" s="35" t="str">
        <x:v>테이블 유지</x:v>
      </x:c>
      <x:c r="E20" s="35" t="str">
        <x:v>BBS_MST_ID</x:v>
      </x:c>
      <x:c r="F20" s="35" t="str">
        <x:v>BBS_MST_ID</x:v>
      </x:c>
      <x:c r="G20" s="35" t="str">
        <x:v>유지</x:v>
      </x:c>
      <x:c r="H20" s="35" t="str">
        <x:v>확실</x:v>
      </x:c>
      <x:c r="I20" s="35" t="str">
        <x:v>VARCHAR(50) | NOT NULL | PK</x:v>
      </x:c>
      <x:c r="J20" s="35" t="str">
        <x:v>VARCHAR(50) | NOT NULL | PK</x:v>
      </x:c>
      <x:c r="K20" s="35" t="str">
        <x:v>동일</x:v>
      </x:c>
      <x:c r="L20" s="35" t="str">
        <x:v>게시판 고유 코드</x:v>
      </x:c>
      <x:c r="M20" s="35" t="str">
        <x:v>게시판마스터ID</x:v>
      </x:c>
      <x:c r="N20" s="35" t="str">
        <x:v>낮음</x:v>
      </x:c>
      <x:c r="O20" s="35" t="str">
        <x:v>코드 변경 불필요. 회귀 테스트만 수행</x:v>
      </x:c>
      <x:c r="P20" s="35" t="str">
        <x:v>해당없음</x:v>
      </x:c>
      <x:c r="Q20" s="35" t="str"/>
      <x:c r="R20" s="35" t="str"/>
    </x:row>
    <x:row r="21">
      <x:c r="A21" s="35" t="n">
        <x:v>17</x:v>
      </x:c>
      <x:c r="B21" s="35" t="str">
        <x:v>SYS_BBS_MST</x:v>
      </x:c>
      <x:c r="C21" s="35" t="str">
        <x:v>SYS_BBS_MST</x:v>
      </x:c>
      <x:c r="D21" s="35" t="str">
        <x:v>테이블 유지</x:v>
      </x:c>
      <x:c r="E21" s="35" t="str">
        <x:v>BBS_NM</x:v>
      </x:c>
      <x:c r="F21" s="35" t="str">
        <x:v>BBS_NM</x:v>
      </x:c>
      <x:c r="G21" s="35" t="str">
        <x:v>유지</x:v>
      </x:c>
      <x:c r="H21" s="35" t="str">
        <x:v>확실</x:v>
      </x:c>
      <x:c r="I21" s="35" t="str">
        <x:v>VARCHAR(100) | NOT NULL</x:v>
      </x:c>
      <x:c r="J21" s="35" t="str">
        <x:v>VARCHAR(100) | NOT NULL</x:v>
      </x:c>
      <x:c r="K21" s="35" t="str">
        <x:v>동일</x:v>
      </x:c>
      <x:c r="L21" s="35" t="str">
        <x:v>게시판 명칭</x:v>
      </x:c>
      <x:c r="M21" s="35" t="str">
        <x:v>게시판명</x:v>
      </x:c>
      <x:c r="N21" s="35" t="str">
        <x:v>낮음</x:v>
      </x:c>
      <x:c r="O21" s="35" t="str">
        <x:v>코드 변경 불필요. 회귀 테스트만 수행</x:v>
      </x:c>
      <x:c r="P21" s="35" t="str">
        <x:v>해당없음</x:v>
      </x:c>
      <x:c r="Q21" s="35" t="str"/>
      <x:c r="R21" s="35" t="str"/>
    </x:row>
    <x:row r="22">
      <x:c r="A22" s="35" t="n">
        <x:v>18</x:v>
      </x:c>
      <x:c r="B22" s="35" t="str">
        <x:v>SYS_BBS_MST</x:v>
      </x:c>
      <x:c r="C22" s="35" t="str">
        <x:v>SYS_BBS_MST</x:v>
      </x:c>
      <x:c r="D22" s="35" t="str">
        <x:v>테이블 유지</x:v>
      </x:c>
      <x:c r="E22" s="35" t="str">
        <x:v>BBS_TYPE</x:v>
      </x:c>
      <x:c r="F22" s="35" t="str">
        <x:v>BBS_TYPE</x:v>
      </x:c>
      <x:c r="G22" s="35" t="str">
        <x:v>유지</x:v>
      </x:c>
      <x:c r="H22" s="35" t="str">
        <x:v>확실</x:v>
      </x:c>
      <x:c r="I22" s="35" t="str">
        <x:v>VARCHAR(20) | NOT NULL</x:v>
      </x:c>
      <x:c r="J22" s="35" t="str">
        <x:v>VARCHAR(20) | NOT NULL</x:v>
      </x:c>
      <x:c r="K22" s="35" t="str">
        <x:v>동일</x:v>
      </x:c>
      <x:c r="L22" s="35" t="str">
        <x:v>게시판 유형</x:v>
      </x:c>
      <x:c r="M22" s="35" t="str">
        <x:v>게시판유형</x:v>
      </x:c>
      <x:c r="N22" s="35" t="str">
        <x:v>낮음</x:v>
      </x:c>
      <x:c r="O22" s="35" t="str">
        <x:v>코드 변경 불필요. 회귀 테스트만 수행</x:v>
      </x:c>
      <x:c r="P22" s="35" t="str">
        <x:v>해당없음</x:v>
      </x:c>
      <x:c r="Q22" s="35" t="str"/>
      <x:c r="R22" s="35" t="str"/>
    </x:row>
    <x:row r="23">
      <x:c r="A23" s="35" t="n">
        <x:v>19</x:v>
      </x:c>
      <x:c r="B23" s="35" t="str">
        <x:v>SYS_BBS_MST</x:v>
      </x:c>
      <x:c r="C23" s="35" t="str">
        <x:v>SYS_BBS_MST</x:v>
      </x:c>
      <x:c r="D23" s="35" t="str">
        <x:v>테이블 유지</x:v>
      </x:c>
      <x:c r="E23" s="35" t="str">
        <x:v>SYS_CRT_USR_ID</x:v>
      </x:c>
      <x:c r="F23" s="35" t="str">
        <x:v>SYS_CRT_USR_ID</x:v>
      </x:c>
      <x:c r="G23" s="35" t="str">
        <x:v>유지</x:v>
      </x:c>
      <x:c r="H23" s="35" t="str">
        <x:v>확실</x:v>
      </x:c>
      <x:c r="I23" s="35" t="str">
        <x:v>VARCHAR(50) | NULL</x:v>
      </x:c>
      <x:c r="J23" s="35" t="str">
        <x:v>VARCHAR(50) | NULL</x:v>
      </x:c>
      <x:c r="K23" s="35" t="str">
        <x:v>동일</x:v>
      </x:c>
      <x:c r="L23" s="35" t="str">
        <x:v>시스템 작성자ID</x:v>
      </x:c>
      <x:c r="M23" s="35" t="str">
        <x:v>시스템생성자ID</x:v>
      </x:c>
      <x:c r="N23" s="35" t="str">
        <x:v>낮음</x:v>
      </x:c>
      <x:c r="O23" s="35" t="str">
        <x:v>코드 변경 불필요. 회귀 테스트만 수행</x:v>
      </x:c>
      <x:c r="P23" s="35" t="str">
        <x:v>해당없음</x:v>
      </x:c>
      <x:c r="Q23" s="35" t="str"/>
      <x:c r="R23" s="35" t="str"/>
    </x:row>
    <x:row r="24">
      <x:c r="A24" s="35" t="n">
        <x:v>20</x:v>
      </x:c>
      <x:c r="B24" s="35" t="str">
        <x:v>SYS_BBS_MST</x:v>
      </x:c>
      <x:c r="C24" s="35" t="str">
        <x:v>SYS_BBS_MST</x:v>
      </x:c>
      <x:c r="D24" s="35" t="str">
        <x:v>테이블 유지</x:v>
      </x:c>
      <x:c r="E24" s="35" t="str">
        <x:v>SYS_CRT_DT</x:v>
      </x:c>
      <x:c r="F24" s="35" t="str">
        <x:v>SYS_GEN_DT</x:v>
      </x:c>
      <x:c r="G24" s="35" t="str">
        <x:v>이름변경</x:v>
      </x:c>
      <x:c r="H24" s="35" t="str">
        <x:v>높음</x:v>
      </x:c>
      <x:c r="I24" s="35" t="str">
        <x:v>DATETIME | NULL</x:v>
      </x:c>
      <x:c r="J24" s="35" t="str">
        <x:v>DATETIME | NULL</x:v>
      </x:c>
      <x:c r="K24" s="35" t="str">
        <x:v>SYS_CRT_DT → SYS_GEN_DT</x:v>
      </x:c>
      <x:c r="L24" s="35" t="str">
        <x:v>시스템 등록 일시</x:v>
      </x:c>
      <x:c r="M24" s="35" t="str">
        <x:v>시스템생성일시</x:v>
      </x:c>
      <x:c r="N24" s="35" t="str">
        <x:v>중간</x:v>
      </x:c>
      <x:c r="O24" s="35" t="str">
        <x:v>SYS_BBS_MST.SYS_CRT_DT 참조를 SYS_BBS_MST.SYS_GEN_DT로 변경하고 SQL alias/직렬화 명칭 점검</x:v>
      </x:c>
      <x:c r="P24" s="35" t="str">
        <x:v>미착수</x:v>
      </x:c>
      <x:c r="Q24" s="35" t="str"/>
      <x:c r="R24" s="35" t="str"/>
    </x:row>
    <x:row r="25">
      <x:c r="A25" s="35" t="n">
        <x:v>21</x:v>
      </x:c>
      <x:c r="B25" s="35" t="str">
        <x:v>SYS_BBS_MST</x:v>
      </x:c>
      <x:c r="C25" s="35" t="str">
        <x:v>SYS_BBS_MST</x:v>
      </x:c>
      <x:c r="D25" s="35" t="str">
        <x:v>테이블 유지</x:v>
      </x:c>
      <x:c r="E25" s="35" t="str">
        <x:v>SYS_UPD_USR_ID</x:v>
      </x:c>
      <x:c r="F25" s="35" t="str">
        <x:v>SYS_MDFR_ID</x:v>
      </x:c>
      <x:c r="G25" s="35" t="str">
        <x:v>이름+정의 변경</x:v>
      </x:c>
      <x:c r="H25" s="35" t="str">
        <x:v>높음</x:v>
      </x:c>
      <x:c r="I25" s="35" t="str">
        <x:v>VARCHAR(50) | NULL</x:v>
      </x:c>
      <x:c r="J25" s="35" t="str">
        <x:v>VARCHAR(20) | NULL</x:v>
      </x:c>
      <x:c r="K25" s="35" t="str">
        <x:v>VARCHAR(50) → VARCHAR(20)</x:v>
      </x:c>
      <x:c r="L25" s="35" t="str">
        <x:v>시스템 수정자ID</x:v>
      </x:c>
      <x:c r="M25" s="35" t="str">
        <x:v>시스템수정자ID</x:v>
      </x:c>
      <x:c r="N25" s="35" t="str">
        <x:v>낮음</x:v>
      </x:c>
      <x:c r="O25" s="35" t="str">
        <x:v>코드 변경 불필요. 회귀 테스트만 수행</x:v>
      </x:c>
      <x:c r="P25" s="35" t="str">
        <x:v>미착수</x:v>
      </x:c>
      <x:c r="Q25" s="35" t="str"/>
      <x:c r="R25" s="35" t="str"/>
    </x:row>
    <x:row r="26">
      <x:c r="A26" s="35" t="n">
        <x:v>22</x:v>
      </x:c>
      <x:c r="B26" s="35" t="str">
        <x:v>SYS_BBS_MST</x:v>
      </x:c>
      <x:c r="C26" s="35" t="str">
        <x:v>SYS_BBS_MST</x:v>
      </x:c>
      <x:c r="D26" s="35" t="str">
        <x:v>테이블 유지</x:v>
      </x:c>
      <x:c r="E26" s="35" t="str">
        <x:v>SYS_UPD_DT</x:v>
      </x:c>
      <x:c r="F26" s="35" t="str">
        <x:v>SYS_MDFCN_DT</x:v>
      </x:c>
      <x:c r="G26" s="35" t="str">
        <x:v>이름변경</x:v>
      </x:c>
      <x:c r="H26" s="35" t="str">
        <x:v>높음</x:v>
      </x:c>
      <x:c r="I26" s="35" t="str">
        <x:v>DATETIME | NULL</x:v>
      </x:c>
      <x:c r="J26" s="35" t="str">
        <x:v>DATETIME | NULL</x:v>
      </x:c>
      <x:c r="K26" s="35" t="str">
        <x:v>SYS_UPD_DT → SYS_MDFCN_DT</x:v>
      </x:c>
      <x:c r="L26" s="35" t="str">
        <x:v>시스템 수정 일시</x:v>
      </x:c>
      <x:c r="M26" s="35" t="str">
        <x:v>시스템수정일시</x:v>
      </x:c>
      <x:c r="N26" s="35" t="str">
        <x:v>중간</x:v>
      </x:c>
      <x:c r="O26" s="35" t="str">
        <x:v>SYS_BBS_MST.SYS_UPD_DT 참조를 SYS_BBS_MST.SYS_MDFCN_DT로 변경하고 SQL alias/직렬화 명칭 점검</x:v>
      </x:c>
      <x:c r="P26" s="35" t="str">
        <x:v>미착수</x:v>
      </x:c>
      <x:c r="Q26" s="35" t="str"/>
      <x:c r="R26" s="35" t="str"/>
    </x:row>
    <x:row r="27">
      <x:c r="A27" s="35" t="n">
        <x:v>23</x:v>
      </x:c>
      <x:c r="B27" s="35" t="str">
        <x:v>SYS_BBS</x:v>
      </x:c>
      <x:c r="C27" s="35" t="str">
        <x:v>SYS_BBS</x:v>
      </x:c>
      <x:c r="D27" s="35" t="str">
        <x:v>테이블 유지</x:v>
      </x:c>
      <x:c r="E27" s="35" t="str">
        <x:v>BBS_MST_ID</x:v>
      </x:c>
      <x:c r="F27" s="35" t="str">
        <x:v>BBS_MST_ID</x:v>
      </x:c>
      <x:c r="G27" s="35" t="str">
        <x:v>유지</x:v>
      </x:c>
      <x:c r="H27" s="35" t="str">
        <x:v>확실</x:v>
      </x:c>
      <x:c r="I27" s="35" t="str">
        <x:v>VARCHAR(50) | NOT NULL</x:v>
      </x:c>
      <x:c r="J27" s="35" t="str">
        <x:v>VARCHAR(50) | NOT NULL</x:v>
      </x:c>
      <x:c r="K27" s="35" t="str">
        <x:v>동일</x:v>
      </x:c>
      <x:c r="L27" s="35" t="str">
        <x:v>게시판 마스터 ID</x:v>
      </x:c>
      <x:c r="M27" s="35" t="str">
        <x:v>게시판마스터ID</x:v>
      </x:c>
      <x:c r="N27" s="35" t="str">
        <x:v>낮음</x:v>
      </x:c>
      <x:c r="O27" s="35" t="str">
        <x:v>코드 변경 불필요. 회귀 테스트만 수행</x:v>
      </x:c>
      <x:c r="P27" s="35" t="str">
        <x:v>해당없음</x:v>
      </x:c>
      <x:c r="Q27" s="35" t="str"/>
      <x:c r="R27" s="35" t="str"/>
    </x:row>
    <x:row r="28">
      <x:c r="A28" s="35" t="n">
        <x:v>24</x:v>
      </x:c>
      <x:c r="B28" s="35" t="str">
        <x:v>SYS_BBS</x:v>
      </x:c>
      <x:c r="C28" s="35" t="str">
        <x:v>SYS_BBS</x:v>
      </x:c>
      <x:c r="D28" s="35" t="str">
        <x:v>테이블 유지</x:v>
      </x:c>
      <x:c r="E28" s="35" t="str">
        <x:v>BBS_ID</x:v>
      </x:c>
      <x:c r="F28" s="35" t="str">
        <x:v>BBS_ID</x:v>
      </x:c>
      <x:c r="G28" s="35" t="str">
        <x:v>유지</x:v>
      </x:c>
      <x:c r="H28" s="35" t="str">
        <x:v>확실</x:v>
      </x:c>
      <x:c r="I28" s="35" t="str">
        <x:v>VARCHAR(50) | NOT NULL | PK</x:v>
      </x:c>
      <x:c r="J28" s="35" t="str">
        <x:v>VARCHAR(50) | NOT NULL | PK</x:v>
      </x:c>
      <x:c r="K28" s="35" t="str">
        <x:v>동일</x:v>
      </x:c>
      <x:c r="L28" s="35" t="str">
        <x:v>게시판 ID</x:v>
      </x:c>
      <x:c r="M28" s="35" t="str">
        <x:v>게시판ID</x:v>
      </x:c>
      <x:c r="N28" s="35" t="str">
        <x:v>낮음</x:v>
      </x:c>
      <x:c r="O28" s="35" t="str">
        <x:v>코드 변경 불필요. 회귀 테스트만 수행</x:v>
      </x:c>
      <x:c r="P28" s="35" t="str">
        <x:v>해당없음</x:v>
      </x:c>
      <x:c r="Q28" s="35" t="str"/>
      <x:c r="R28" s="35" t="str"/>
    </x:row>
    <x:row r="29">
      <x:c r="A29" s="35" t="n">
        <x:v>25</x:v>
      </x:c>
      <x:c r="B29" s="35" t="str">
        <x:v>SYS_BBS</x:v>
      </x:c>
      <x:c r="C29" s="35" t="str">
        <x:v>SYS_BBS</x:v>
      </x:c>
      <x:c r="D29" s="35" t="str">
        <x:v>테이블 유지</x:v>
      </x:c>
      <x:c r="E29" s="35" t="str">
        <x:v>BBS_NM</x:v>
      </x:c>
      <x:c r="F29" s="35" t="str">
        <x:v>BBS_NM</x:v>
      </x:c>
      <x:c r="G29" s="35" t="str">
        <x:v>유지</x:v>
      </x:c>
      <x:c r="H29" s="35" t="str">
        <x:v>확실</x:v>
      </x:c>
      <x:c r="I29" s="35" t="str">
        <x:v>VARCHAR(200) | NOT NULL</x:v>
      </x:c>
      <x:c r="J29" s="35" t="str">
        <x:v>VARCHAR(200) | NOT NULL</x:v>
      </x:c>
      <x:c r="K29" s="35" t="str">
        <x:v>동일</x:v>
      </x:c>
      <x:c r="L29" s="35" t="str">
        <x:v>게시판 이름</x:v>
      </x:c>
      <x:c r="M29" s="35" t="str">
        <x:v>게시판명</x:v>
      </x:c>
      <x:c r="N29" s="35" t="str">
        <x:v>낮음</x:v>
      </x:c>
      <x:c r="O29" s="35" t="str">
        <x:v>코드 변경 불필요. 회귀 테스트만 수행</x:v>
      </x:c>
      <x:c r="P29" s="35" t="str">
        <x:v>해당없음</x:v>
      </x:c>
      <x:c r="Q29" s="35" t="str"/>
      <x:c r="R29" s="35" t="str"/>
    </x:row>
    <x:row r="30">
      <x:c r="A30" s="35" t="n">
        <x:v>26</x:v>
      </x:c>
      <x:c r="B30" s="35" t="str">
        <x:v>SYS_BBS</x:v>
      </x:c>
      <x:c r="C30" s="35" t="str">
        <x:v>SYS_BBS</x:v>
      </x:c>
      <x:c r="D30" s="35" t="str">
        <x:v>테이블 유지</x:v>
      </x:c>
      <x:c r="E30" s="35" t="str">
        <x:v>BBS_MANAGER</x:v>
      </x:c>
      <x:c r="F30" s="35" t="str">
        <x:v>BBS_MNGR</x:v>
      </x:c>
      <x:c r="G30" s="35" t="str">
        <x:v>이름변경</x:v>
      </x:c>
      <x:c r="H30" s="35" t="str">
        <x:v>높음</x:v>
      </x:c>
      <x:c r="I30" s="35" t="str">
        <x:v>VARCHAR(50) | NULL</x:v>
      </x:c>
      <x:c r="J30" s="35" t="str">
        <x:v>VARCHAR(50) | NULL</x:v>
      </x:c>
      <x:c r="K30" s="35" t="str">
        <x:v>BBS_MANAGER → BBS_MNGR</x:v>
      </x:c>
      <x:c r="L30" s="35" t="str">
        <x:v>게시판 관리자</x:v>
      </x:c>
      <x:c r="M30" s="35" t="str">
        <x:v>게시판관리자</x:v>
      </x:c>
      <x:c r="N30" s="35" t="str">
        <x:v>중간</x:v>
      </x:c>
      <x:c r="O30" s="35" t="str">
        <x:v>SYS_BBS.BBS_MANAGER 참조를 SYS_BBS.BBS_MNGR로 변경하고 SQL alias/직렬화 명칭 점검</x:v>
      </x:c>
      <x:c r="P30" s="35" t="str">
        <x:v>미착수</x:v>
      </x:c>
      <x:c r="Q30" s="35" t="str"/>
      <x:c r="R30" s="35" t="str"/>
    </x:row>
    <x:row r="31">
      <x:c r="A31" s="35" t="n">
        <x:v>27</x:v>
      </x:c>
      <x:c r="B31" s="35" t="str">
        <x:v>SYS_BBS</x:v>
      </x:c>
      <x:c r="C31" s="35" t="str">
        <x:v>SYS_BBS</x:v>
      </x:c>
      <x:c r="D31" s="35" t="str">
        <x:v>테이블 유지</x:v>
      </x:c>
      <x:c r="E31" s="35" t="str">
        <x:v>FILE_YN</x:v>
      </x:c>
      <x:c r="F31" s="35" t="str">
        <x:v>FILE_ATCH_YN</x:v>
      </x:c>
      <x:c r="G31" s="35" t="str">
        <x:v>이름변경</x:v>
      </x:c>
      <x:c r="H31" s="35" t="str">
        <x:v>높음</x:v>
      </x:c>
      <x:c r="I31" s="35" t="str">
        <x:v>VARCHAR(1) | NULL</x:v>
      </x:c>
      <x:c r="J31" s="35" t="str">
        <x:v>VARCHAR(1) | NULL</x:v>
      </x:c>
      <x:c r="K31" s="35" t="str">
        <x:v>FILE_YN → FILE_ATCH_YN</x:v>
      </x:c>
      <x:c r="L31" s="35" t="str">
        <x:v>파일첨부 가능 여부</x:v>
      </x:c>
      <x:c r="M31" s="35" t="str">
        <x:v>파일첨부가능여부</x:v>
      </x:c>
      <x:c r="N31" s="35" t="str">
        <x:v>중간</x:v>
      </x:c>
      <x:c r="O31" s="35" t="str">
        <x:v>SYS_BBS.FILE_YN 참조를 SYS_BBS.FILE_ATCH_YN로 변경하고 SQL alias/직렬화 명칭 점검</x:v>
      </x:c>
      <x:c r="P31" s="35" t="str">
        <x:v>미착수</x:v>
      </x:c>
      <x:c r="Q31" s="35" t="str"/>
      <x:c r="R31" s="35" t="str"/>
    </x:row>
    <x:row r="32">
      <x:c r="A32" s="35" t="n">
        <x:v>28</x:v>
      </x:c>
      <x:c r="B32" s="35" t="str">
        <x:v>SYS_BBS</x:v>
      </x:c>
      <x:c r="C32" s="35" t="str">
        <x:v>SYS_BBS</x:v>
      </x:c>
      <x:c r="D32" s="35" t="str">
        <x:v>테이블 유지</x:v>
      </x:c>
      <x:c r="E32" s="35" t="str">
        <x:v>REPLY_YN</x:v>
      </x:c>
      <x:c r="F32" s="35" t="str">
        <x:v>CMNT_YN</x:v>
      </x:c>
      <x:c r="G32" s="35" t="str">
        <x:v>이름변경</x:v>
      </x:c>
      <x:c r="H32" s="35" t="str">
        <x:v>높음</x:v>
      </x:c>
      <x:c r="I32" s="35" t="str">
        <x:v>VARCHAR(1) | NULL</x:v>
      </x:c>
      <x:c r="J32" s="35" t="str">
        <x:v>VARCHAR(1) | NULL</x:v>
      </x:c>
      <x:c r="K32" s="35" t="str">
        <x:v>REPLY_YN → CMNT_YN</x:v>
      </x:c>
      <x:c r="L32" s="35" t="str">
        <x:v>댓글 가능 여부</x:v>
      </x:c>
      <x:c r="M32" s="35" t="str">
        <x:v>댓글가능여부</x:v>
      </x:c>
      <x:c r="N32" s="35" t="str">
        <x:v>중간</x:v>
      </x:c>
      <x:c r="O32" s="35" t="str">
        <x:v>SYS_BBS.REPLY_YN 참조를 SYS_BBS.CMNT_YN로 변경하고 SQL alias/직렬화 명칭 점검</x:v>
      </x:c>
      <x:c r="P32" s="35" t="str">
        <x:v>미착수</x:v>
      </x:c>
      <x:c r="Q32" s="35" t="str"/>
      <x:c r="R32" s="35" t="str"/>
    </x:row>
    <x:row r="33">
      <x:c r="A33" s="35" t="n">
        <x:v>29</x:v>
      </x:c>
      <x:c r="B33" s="35" t="str">
        <x:v>SYS_BBS</x:v>
      </x:c>
      <x:c r="C33" s="35" t="str">
        <x:v>SYS_BBS</x:v>
      </x:c>
      <x:c r="D33" s="35" t="str">
        <x:v>테이블 유지</x:v>
      </x:c>
      <x:c r="E33" s="35" t="str">
        <x:v>SYS_CRT_USR_ID</x:v>
      </x:c>
      <x:c r="F33" s="35" t="str">
        <x:v>SYS_CRT_USR_ID</x:v>
      </x:c>
      <x:c r="G33" s="35" t="str">
        <x:v>유지</x:v>
      </x:c>
      <x:c r="H33" s="35" t="str">
        <x:v>확실</x:v>
      </x:c>
      <x:c r="I33" s="35" t="str">
        <x:v>VARCHAR(50) | NULL</x:v>
      </x:c>
      <x:c r="J33" s="35" t="str">
        <x:v>VARCHAR(50) | NULL</x:v>
      </x:c>
      <x:c r="K33" s="35" t="str">
        <x:v>동일</x:v>
      </x:c>
      <x:c r="L33" s="35" t="str">
        <x:v>시스템 작성자ID</x:v>
      </x:c>
      <x:c r="M33" s="35" t="str">
        <x:v>시스템생성자ID</x:v>
      </x:c>
      <x:c r="N33" s="35" t="str">
        <x:v>낮음</x:v>
      </x:c>
      <x:c r="O33" s="35" t="str">
        <x:v>코드 변경 불필요. 회귀 테스트만 수행</x:v>
      </x:c>
      <x:c r="P33" s="35" t="str">
        <x:v>해당없음</x:v>
      </x:c>
      <x:c r="Q33" s="35" t="str"/>
      <x:c r="R33" s="35" t="str"/>
    </x:row>
    <x:row r="34">
      <x:c r="A34" s="35" t="n">
        <x:v>30</x:v>
      </x:c>
      <x:c r="B34" s="35" t="str">
        <x:v>SYS_BBS</x:v>
      </x:c>
      <x:c r="C34" s="35" t="str">
        <x:v>SYS_BBS</x:v>
      </x:c>
      <x:c r="D34" s="35" t="str">
        <x:v>테이블 유지</x:v>
      </x:c>
      <x:c r="E34" s="35" t="str">
        <x:v>SYS_CRT_DT</x:v>
      </x:c>
      <x:c r="F34" s="35" t="str">
        <x:v>SYS_GEN_DT</x:v>
      </x:c>
      <x:c r="G34" s="35" t="str">
        <x:v>이름변경</x:v>
      </x:c>
      <x:c r="H34" s="35" t="str">
        <x:v>높음</x:v>
      </x:c>
      <x:c r="I34" s="35" t="str">
        <x:v>DATETIME | NULL</x:v>
      </x:c>
      <x:c r="J34" s="35" t="str">
        <x:v>DATETIME | NULL</x:v>
      </x:c>
      <x:c r="K34" s="35" t="str">
        <x:v>SYS_CRT_DT → SYS_GEN_DT</x:v>
      </x:c>
      <x:c r="L34" s="35" t="str">
        <x:v>시스템 등록 일시</x:v>
      </x:c>
      <x:c r="M34" s="35" t="str">
        <x:v>시스템생성일시</x:v>
      </x:c>
      <x:c r="N34" s="35" t="str">
        <x:v>중간</x:v>
      </x:c>
      <x:c r="O34" s="35" t="str">
        <x:v>SYS_BBS.SYS_CRT_DT 참조를 SYS_BBS.SYS_GEN_DT로 변경하고 SQL alias/직렬화 명칭 점검</x:v>
      </x:c>
      <x:c r="P34" s="35" t="str">
        <x:v>미착수</x:v>
      </x:c>
      <x:c r="Q34" s="35" t="str"/>
      <x:c r="R34" s="35" t="str"/>
    </x:row>
    <x:row r="35">
      <x:c r="A35" s="35" t="n">
        <x:v>31</x:v>
      </x:c>
      <x:c r="B35" s="35" t="str">
        <x:v>SYS_BBS</x:v>
      </x:c>
      <x:c r="C35" s="35" t="str">
        <x:v>SYS_BBS</x:v>
      </x:c>
      <x:c r="D35" s="35" t="str">
        <x:v>테이블 유지</x:v>
      </x:c>
      <x:c r="E35" s="35" t="str">
        <x:v>SYS_UPD_USR_ID</x:v>
      </x:c>
      <x:c r="F35" s="35" t="str">
        <x:v>SYS_MDFR_ID</x:v>
      </x:c>
      <x:c r="G35" s="35" t="str">
        <x:v>이름+정의 변경</x:v>
      </x:c>
      <x:c r="H35" s="35" t="str">
        <x:v>높음</x:v>
      </x:c>
      <x:c r="I35" s="35" t="str">
        <x:v>VARCHAR(50) | NULL</x:v>
      </x:c>
      <x:c r="J35" s="35" t="str">
        <x:v>VARCHAR(20) | NULL</x:v>
      </x:c>
      <x:c r="K35" s="35" t="str">
        <x:v>VARCHAR(50) → VARCHAR(20)</x:v>
      </x:c>
      <x:c r="L35" s="35" t="str">
        <x:v>시스템 수정자ID</x:v>
      </x:c>
      <x:c r="M35" s="35" t="str">
        <x:v>시스템수정자ID</x:v>
      </x:c>
      <x:c r="N35" s="35" t="str">
        <x:v>낮음</x:v>
      </x:c>
      <x:c r="O35" s="35" t="str">
        <x:v>코드 변경 불필요. 회귀 테스트만 수행</x:v>
      </x:c>
      <x:c r="P35" s="35" t="str">
        <x:v>미착수</x:v>
      </x:c>
      <x:c r="Q35" s="35" t="str"/>
      <x:c r="R35" s="35" t="str"/>
    </x:row>
    <x:row r="36">
      <x:c r="A36" s="35" t="n">
        <x:v>32</x:v>
      </x:c>
      <x:c r="B36" s="35" t="str">
        <x:v>SYS_BBS</x:v>
      </x:c>
      <x:c r="C36" s="35" t="str">
        <x:v>SYS_BBS</x:v>
      </x:c>
      <x:c r="D36" s="35" t="str">
        <x:v>테이블 유지</x:v>
      </x:c>
      <x:c r="E36" s="35" t="str">
        <x:v>SYS_UPD_DT</x:v>
      </x:c>
      <x:c r="F36" s="35" t="str">
        <x:v>SYS_MDFCN_DT</x:v>
      </x:c>
      <x:c r="G36" s="35" t="str">
        <x:v>이름변경</x:v>
      </x:c>
      <x:c r="H36" s="35" t="str">
        <x:v>높음</x:v>
      </x:c>
      <x:c r="I36" s="35" t="str">
        <x:v>DATETIME | NULL</x:v>
      </x:c>
      <x:c r="J36" s="35" t="str">
        <x:v>DATETIME | NULL</x:v>
      </x:c>
      <x:c r="K36" s="35" t="str">
        <x:v>SYS_UPD_DT → SYS_MDFCN_DT</x:v>
      </x:c>
      <x:c r="L36" s="35" t="str">
        <x:v>시스템 수정 일시</x:v>
      </x:c>
      <x:c r="M36" s="35" t="str">
        <x:v>시스템수정일시</x:v>
      </x:c>
      <x:c r="N36" s="35" t="str">
        <x:v>중간</x:v>
      </x:c>
      <x:c r="O36" s="35" t="str">
        <x:v>SYS_BBS.SYS_UPD_DT 참조를 SYS_BBS.SYS_MDFCN_DT로 변경하고 SQL alias/직렬화 명칭 점검</x:v>
      </x:c>
      <x:c r="P36" s="35" t="str">
        <x:v>미착수</x:v>
      </x:c>
      <x:c r="Q36" s="35" t="str"/>
      <x:c r="R36" s="35" t="str"/>
    </x:row>
    <x:row r="37">
      <x:c r="A37" s="35" t="n">
        <x:v>33</x:v>
      </x:c>
      <x:c r="B37" s="35" t="str">
        <x:v>SYS_BBS</x:v>
      </x:c>
      <x:c r="C37" s="35" t="str">
        <x:v>SYS_BBS</x:v>
      </x:c>
      <x:c r="D37" s="35" t="str">
        <x:v>테이블 유지</x:v>
      </x:c>
      <x:c r="E37" s="35" t="str">
        <x:v>P_MENU_CD</x:v>
      </x:c>
      <x:c r="F37" s="35" t="str">
        <x:v>UP_MENU_CD</x:v>
      </x:c>
      <x:c r="G37" s="35" t="str">
        <x:v>이름변경</x:v>
      </x:c>
      <x:c r="H37" s="35" t="str">
        <x:v>높음</x:v>
      </x:c>
      <x:c r="I37" s="35" t="str">
        <x:v>VARCHAR(50) | NULL</x:v>
      </x:c>
      <x:c r="J37" s="35" t="str">
        <x:v>VARCHAR(50) | NULL</x:v>
      </x:c>
      <x:c r="K37" s="35" t="str">
        <x:v>P_MENU_CD → UP_MENU_CD</x:v>
      </x:c>
      <x:c r="L37" s="35" t="str">
        <x:v>상위 메뉴코드</x:v>
      </x:c>
      <x:c r="M37" s="35" t="str">
        <x:v>상위메뉴코드</x:v>
      </x:c>
      <x:c r="N37" s="35" t="str">
        <x:v>중간</x:v>
      </x:c>
      <x:c r="O37" s="35" t="str">
        <x:v>SYS_BBS.P_MENU_CD 참조를 SYS_BBS.UP_MENU_CD로 변경하고 SQL alias/직렬화 명칭 점검</x:v>
      </x:c>
      <x:c r="P37" s="35" t="str">
        <x:v>미착수</x:v>
      </x:c>
      <x:c r="Q37" s="35" t="str"/>
      <x:c r="R37" s="35" t="str"/>
    </x:row>
    <x:row r="38">
      <x:c r="A38" s="35" t="n">
        <x:v>34</x:v>
      </x:c>
      <x:c r="B38" s="35" t="str">
        <x:v>SYS_BBS</x:v>
      </x:c>
      <x:c r="C38" s="35" t="str">
        <x:v>SYS_BBS</x:v>
      </x:c>
      <x:c r="D38" s="35" t="str">
        <x:v>테이블 유지</x:v>
      </x:c>
      <x:c r="E38" s="35" t="str">
        <x:v>BBS_TYPE</x:v>
      </x:c>
      <x:c r="F38" s="35" t="str">
        <x:v>BBS_TYPE</x:v>
      </x:c>
      <x:c r="G38" s="35" t="str">
        <x:v>유지</x:v>
      </x:c>
      <x:c r="H38" s="35" t="str">
        <x:v>확실</x:v>
      </x:c>
      <x:c r="I38" s="35" t="str">
        <x:v>VARCHAR(20) | NULL</x:v>
      </x:c>
      <x:c r="J38" s="35" t="str">
        <x:v>VARCHAR(20) | NULL</x:v>
      </x:c>
      <x:c r="K38" s="35" t="str">
        <x:v>동일</x:v>
      </x:c>
      <x:c r="L38" s="35" t="str">
        <x:v>게시판 유형</x:v>
      </x:c>
      <x:c r="M38" s="35" t="str">
        <x:v>게시판유형</x:v>
      </x:c>
      <x:c r="N38" s="35" t="str">
        <x:v>낮음</x:v>
      </x:c>
      <x:c r="O38" s="35" t="str">
        <x:v>코드 변경 불필요. 회귀 테스트만 수행</x:v>
      </x:c>
      <x:c r="P38" s="35" t="str">
        <x:v>해당없음</x:v>
      </x:c>
      <x:c r="Q38" s="35" t="str"/>
      <x:c r="R38" s="35" t="str"/>
    </x:row>
    <x:row r="39">
      <x:c r="A39" s="35" t="n">
        <x:v>35</x:v>
      </x:c>
      <x:c r="B39" s="35" t="str">
        <x:v>SYS_BBS_BRD</x:v>
      </x:c>
      <x:c r="C39" s="35" t="str">
        <x:v>SYS_BBS_PST</x:v>
      </x:c>
      <x:c r="D39" s="35" t="str">
        <x:v>테이블명 변경/대체</x:v>
      </x:c>
      <x:c r="E39" s="35" t="str">
        <x:v>BOARD_ID</x:v>
      </x:c>
      <x:c r="F39" s="35" t="str">
        <x:v>PST_ID</x:v>
      </x:c>
      <x:c r="G39" s="35" t="str">
        <x:v>이름변경</x:v>
      </x:c>
      <x:c r="H39" s="35" t="str">
        <x:v>높음</x:v>
      </x:c>
      <x:c r="I39" s="35" t="str">
        <x:v>VARCHAR(50) | NOT NULL | PK</x:v>
      </x:c>
      <x:c r="J39" s="35" t="str">
        <x:v>VARCHAR(50) | NOT NULL | PK</x:v>
      </x:c>
      <x:c r="K39" s="35" t="str">
        <x:v>BOARD_ID → PST_ID</x:v>
      </x:c>
      <x:c r="L39" s="35" t="str">
        <x:v>게시물 고유 ID (UUID)</x:v>
      </x:c>
      <x:c r="M39" s="35" t="str">
        <x:v>게시물ID</x:v>
      </x:c>
      <x:c r="N39" s="35" t="str">
        <x:v>중간</x:v>
      </x:c>
      <x:c r="O39" s="35" t="str">
        <x:v>SYS_BBS_BRD.BOARD_ID 참조를 SYS_BBS_PST.PST_ID로 변경하고 SQL alias/직렬화 명칭 점검; 테이블 참조 SYS_BBS_BRD → SYS_BBS_PST 변경</x:v>
      </x:c>
      <x:c r="P39" s="35" t="str">
        <x:v>미착수</x:v>
      </x:c>
      <x:c r="Q39" s="35" t="str"/>
      <x:c r="R39" s="35" t="str"/>
    </x:row>
    <x:row r="40">
      <x:c r="A40" s="35" t="n">
        <x:v>36</x:v>
      </x:c>
      <x:c r="B40" s="35" t="str">
        <x:v>SYS_BBS_BRD</x:v>
      </x:c>
      <x:c r="C40" s="35" t="str">
        <x:v>SYS_BBS_PST</x:v>
      </x:c>
      <x:c r="D40" s="35" t="str">
        <x:v>테이블명 변경/대체</x:v>
      </x:c>
      <x:c r="E40" s="35" t="str">
        <x:v>BBS_ID</x:v>
      </x:c>
      <x:c r="F40" s="35" t="str">
        <x:v>BBS_ID</x:v>
      </x:c>
      <x:c r="G40" s="35" t="str">
        <x:v>유지</x:v>
      </x:c>
      <x:c r="H40" s="35" t="str">
        <x:v>확실</x:v>
      </x:c>
      <x:c r="I40" s="35" t="str">
        <x:v>VARCHAR(50) | NOT NULL</x:v>
      </x:c>
      <x:c r="J40" s="35" t="str">
        <x:v>VARCHAR(50) | NOT NULL</x:v>
      </x:c>
      <x:c r="K40" s="35" t="str">
        <x:v>동일</x:v>
      </x:c>
      <x:c r="L40" s="35" t="str">
        <x:v>소속 게시판 ID (FK)</x:v>
      </x:c>
      <x:c r="M40" s="35" t="str">
        <x:v>게시판ID</x:v>
      </x:c>
      <x:c r="N40" s="35" t="str">
        <x:v>중간</x:v>
      </x:c>
      <x:c r="O40" s="35" t="str">
        <x:v>코드 변경 불필요. 회귀 테스트만 수행; 테이블 참조 SYS_BBS_BRD → SYS_BBS_PST 변경</x:v>
      </x:c>
      <x:c r="P40" s="35" t="str">
        <x:v>해당없음</x:v>
      </x:c>
      <x:c r="Q40" s="35" t="str"/>
      <x:c r="R40" s="35" t="str"/>
    </x:row>
    <x:row r="41">
      <x:c r="A41" s="35" t="n">
        <x:v>37</x:v>
      </x:c>
      <x:c r="B41" s="35" t="str">
        <x:v>SYS_BBS_BRD</x:v>
      </x:c>
      <x:c r="C41" s="35" t="str">
        <x:v>SYS_BBS_PST</x:v>
      </x:c>
      <x:c r="D41" s="35" t="str">
        <x:v>테이블명 변경/대체</x:v>
      </x:c>
      <x:c r="E41" s="35" t="str">
        <x:v>TITLE</x:v>
      </x:c>
      <x:c r="F41" s="35" t="str">
        <x:v>TTL</x:v>
      </x:c>
      <x:c r="G41" s="35" t="str">
        <x:v>이름변경</x:v>
      </x:c>
      <x:c r="H41" s="35" t="str">
        <x:v>높음</x:v>
      </x:c>
      <x:c r="I41" s="35" t="str">
        <x:v>VARCHAR(200) | NOT NULL</x:v>
      </x:c>
      <x:c r="J41" s="35" t="str">
        <x:v>VARCHAR(200) | NOT NULL</x:v>
      </x:c>
      <x:c r="K41" s="35" t="str">
        <x:v>TITLE → TTL</x:v>
      </x:c>
      <x:c r="L41" s="35" t="str">
        <x:v>글 제목</x:v>
      </x:c>
      <x:c r="M41" s="35" t="str">
        <x:v>글제목</x:v>
      </x:c>
      <x:c r="N41" s="35" t="str">
        <x:v>중간</x:v>
      </x:c>
      <x:c r="O41" s="35" t="str">
        <x:v>SYS_BBS_BRD.TITLE 참조를 SYS_BBS_PST.TTL로 변경하고 SQL alias/직렬화 명칭 점검; 테이블 참조 SYS_BBS_BRD → SYS_BBS_PST 변경</x:v>
      </x:c>
      <x:c r="P41" s="35" t="str">
        <x:v>미착수</x:v>
      </x:c>
      <x:c r="Q41" s="35" t="str"/>
      <x:c r="R41" s="35" t="str"/>
    </x:row>
    <x:row r="42">
      <x:c r="A42" s="35" t="n">
        <x:v>38</x:v>
      </x:c>
      <x:c r="B42" s="35" t="str">
        <x:v>SYS_BBS_BRD</x:v>
      </x:c>
      <x:c r="C42" s="35" t="str">
        <x:v>SYS_BBS_PST</x:v>
      </x:c>
      <x:c r="D42" s="35" t="str">
        <x:v>테이블명 변경/대체</x:v>
      </x:c>
      <x:c r="E42" s="35" t="str">
        <x:v>CONTENT</x:v>
      </x:c>
      <x:c r="F42" s="35" t="str">
        <x:v>CN</x:v>
      </x:c>
      <x:c r="G42" s="35" t="str">
        <x:v>이름변경</x:v>
      </x:c>
      <x:c r="H42" s="35" t="str">
        <x:v>높음</x:v>
      </x:c>
      <x:c r="I42" s="35" t="str">
        <x:v>LONGTEXT | NULL</x:v>
      </x:c>
      <x:c r="J42" s="35" t="str">
        <x:v>LONGTEXT | NULL</x:v>
      </x:c>
      <x:c r="K42" s="35" t="str">
        <x:v>CONTENT → CN</x:v>
      </x:c>
      <x:c r="L42" s="35" t="str">
        <x:v>글 내용</x:v>
      </x:c>
      <x:c r="M42" s="35" t="str">
        <x:v>글내용</x:v>
      </x:c>
      <x:c r="N42" s="35" t="str">
        <x:v>중간</x:v>
      </x:c>
      <x:c r="O42" s="35" t="str">
        <x:v>SYS_BBS_BRD.CONTENT 참조를 SYS_BBS_PST.CN로 변경하고 SQL alias/직렬화 명칭 점검; 테이블 참조 SYS_BBS_BRD → SYS_BBS_PST 변경</x:v>
      </x:c>
      <x:c r="P42" s="35" t="str">
        <x:v>미착수</x:v>
      </x:c>
      <x:c r="Q42" s="35" t="str"/>
      <x:c r="R42" s="35" t="str"/>
    </x:row>
    <x:row r="43">
      <x:c r="A43" s="35" t="n">
        <x:v>39</x:v>
      </x:c>
      <x:c r="B43" s="35" t="str">
        <x:v>SYS_BBS_BRD</x:v>
      </x:c>
      <x:c r="C43" s="35" t="str">
        <x:v>SYS_BBS_PST</x:v>
      </x:c>
      <x:c r="D43" s="35" t="str">
        <x:v>테이블명 변경/대체</x:v>
      </x:c>
      <x:c r="E43" s="35" t="str">
        <x:v>WRTR_NM</x:v>
      </x:c>
      <x:c r="F43" s="35" t="str">
        <x:v>WRTR_NM</x:v>
      </x:c>
      <x:c r="G43" s="35" t="str">
        <x:v>유지</x:v>
      </x:c>
      <x:c r="H43" s="35" t="str">
        <x:v>확실</x:v>
      </x:c>
      <x:c r="I43" s="35" t="str">
        <x:v>VARCHAR(50) | NULL</x:v>
      </x:c>
      <x:c r="J43" s="35" t="str">
        <x:v>VARCHAR(50) | NULL</x:v>
      </x:c>
      <x:c r="K43" s="35" t="str">
        <x:v>동일</x:v>
      </x:c>
      <x:c r="L43" s="35" t="str">
        <x:v>작성자 이름</x:v>
      </x:c>
      <x:c r="M43" s="35" t="str">
        <x:v>작성자명</x:v>
      </x:c>
      <x:c r="N43" s="35" t="str">
        <x:v>중간</x:v>
      </x:c>
      <x:c r="O43" s="35" t="str">
        <x:v>코드 변경 불필요. 회귀 테스트만 수행; 테이블 참조 SYS_BBS_BRD → SYS_BBS_PST 변경</x:v>
      </x:c>
      <x:c r="P43" s="35" t="str">
        <x:v>해당없음</x:v>
      </x:c>
      <x:c r="Q43" s="35" t="str"/>
      <x:c r="R43" s="35" t="str"/>
    </x:row>
    <x:row r="44">
      <x:c r="A44" s="35" t="n">
        <x:v>40</x:v>
      </x:c>
      <x:c r="B44" s="35" t="str">
        <x:v>SYS_BBS_BRD</x:v>
      </x:c>
      <x:c r="C44" s="35" t="str">
        <x:v>SYS_BBS_PST</x:v>
      </x:c>
      <x:c r="D44" s="35" t="str">
        <x:v>테이블명 변경/대체</x:v>
      </x:c>
      <x:c r="E44" s="35" t="str">
        <x:v>HIT_CNT</x:v>
      </x:c>
      <x:c r="F44" s="35" t="str">
        <x:v>INQ_CNT</x:v>
      </x:c>
      <x:c r="G44" s="35" t="str">
        <x:v>이름변경</x:v>
      </x:c>
      <x:c r="H44" s="35" t="str">
        <x:v>높음</x:v>
      </x:c>
      <x:c r="I44" s="35" t="str">
        <x:v>INT | NULL | DEFAULT 0</x:v>
      </x:c>
      <x:c r="J44" s="35" t="str">
        <x:v>INT | NULL | DEFAULT 0</x:v>
      </x:c>
      <x:c r="K44" s="35" t="str">
        <x:v>HIT_CNT → INQ_CNT</x:v>
      </x:c>
      <x:c r="L44" s="35" t="str">
        <x:v>조회수</x:v>
      </x:c>
      <x:c r="M44" s="35" t="str">
        <x:v>조회수</x:v>
      </x:c>
      <x:c r="N44" s="35" t="str">
        <x:v>중간</x:v>
      </x:c>
      <x:c r="O44" s="35" t="str">
        <x:v>SYS_BBS_BRD.HIT_CNT 참조를 SYS_BBS_PST.INQ_CNT로 변경하고 SQL alias/직렬화 명칭 점검; 테이블 참조 SYS_BBS_BRD → SYS_BBS_PST 변경</x:v>
      </x:c>
      <x:c r="P44" s="35" t="str">
        <x:v>미착수</x:v>
      </x:c>
      <x:c r="Q44" s="35" t="str"/>
      <x:c r="R44" s="35" t="str"/>
    </x:row>
    <x:row r="45">
      <x:c r="A45" s="35" t="n">
        <x:v>41</x:v>
      </x:c>
      <x:c r="B45" s="35" t="str">
        <x:v>SYS_BBS_BRD</x:v>
      </x:c>
      <x:c r="C45" s="35" t="str">
        <x:v>SYS_BBS_PST</x:v>
      </x:c>
      <x:c r="D45" s="35" t="str">
        <x:v>테이블명 변경/대체</x:v>
      </x:c>
      <x:c r="E45" s="35" t="str">
        <x:v>THMBNL</x:v>
      </x:c>
      <x:c r="F45" s="35" t="str">
        <x:v>THMB_PATH</x:v>
      </x:c>
      <x:c r="G45" s="35" t="str">
        <x:v>이름변경</x:v>
      </x:c>
      <x:c r="H45" s="35" t="str">
        <x:v>높음</x:v>
      </x:c>
      <x:c r="I45" s="35" t="str">
        <x:v>VARCHAR(255) | NULL</x:v>
      </x:c>
      <x:c r="J45" s="35" t="str">
        <x:v>VARCHAR(255) | NULL</x:v>
      </x:c>
      <x:c r="K45" s="35" t="str">
        <x:v>THMBNL → THMB_PATH</x:v>
      </x:c>
      <x:c r="L45" s="35" t="str">
        <x:v>갤러리용 썸네일 경로</x:v>
      </x:c>
      <x:c r="M45" s="35" t="str">
        <x:v>썸네일경로</x:v>
      </x:c>
      <x:c r="N45" s="35" t="str">
        <x:v>중간</x:v>
      </x:c>
      <x:c r="O45" s="35" t="str">
        <x:v>SYS_BBS_BRD.THMBNL 참조를 SYS_BBS_PST.THMB_PATH로 변경하고 SQL alias/직렬화 명칭 점검; 테이블 참조 SYS_BBS_BRD → SYS_BBS_PST 변경</x:v>
      </x:c>
      <x:c r="P45" s="35" t="str">
        <x:v>미착수</x:v>
      </x:c>
      <x:c r="Q45" s="35" t="str"/>
      <x:c r="R45" s="35" t="str"/>
    </x:row>
    <x:row r="46">
      <x:c r="A46" s="35" t="n">
        <x:v>42</x:v>
      </x:c>
      <x:c r="B46" s="35" t="str">
        <x:v>SYS_BBS_BRD</x:v>
      </x:c>
      <x:c r="C46" s="35" t="str">
        <x:v>SYS_BBS_PST</x:v>
      </x:c>
      <x:c r="D46" s="35" t="str">
        <x:v>테이블명 변경/대체</x:v>
      </x:c>
      <x:c r="E46" s="35" t="str">
        <x:v>SYS_CRT_USR_ID</x:v>
      </x:c>
      <x:c r="F46" s="35" t="str">
        <x:v>SYS_CRT_USR_ID</x:v>
      </x:c>
      <x:c r="G46" s="35" t="str">
        <x:v>유지</x:v>
      </x:c>
      <x:c r="H46" s="35" t="str">
        <x:v>확실</x:v>
      </x:c>
      <x:c r="I46" s="35" t="str">
        <x:v>VARCHAR(50) | NULL</x:v>
      </x:c>
      <x:c r="J46" s="35" t="str">
        <x:v>VARCHAR(50) | NULL</x:v>
      </x:c>
      <x:c r="K46" s="35" t="str">
        <x:v>동일</x:v>
      </x:c>
      <x:c r="L46" s="35" t="str">
        <x:v>시스템 등록자 ID</x:v>
      </x:c>
      <x:c r="M46" s="35" t="str">
        <x:v>시스템생성자ID</x:v>
      </x:c>
      <x:c r="N46" s="35" t="str">
        <x:v>중간</x:v>
      </x:c>
      <x:c r="O46" s="35" t="str">
        <x:v>코드 변경 불필요. 회귀 테스트만 수행; 테이블 참조 SYS_BBS_BRD → SYS_BBS_PST 변경</x:v>
      </x:c>
      <x:c r="P46" s="35" t="str">
        <x:v>해당없음</x:v>
      </x:c>
      <x:c r="Q46" s="35" t="str"/>
      <x:c r="R46" s="35" t="str"/>
    </x:row>
    <x:row r="47">
      <x:c r="A47" s="35" t="n">
        <x:v>43</x:v>
      </x:c>
      <x:c r="B47" s="35" t="str">
        <x:v>SYS_BBS_BRD</x:v>
      </x:c>
      <x:c r="C47" s="35" t="str">
        <x:v>SYS_BBS_PST</x:v>
      </x:c>
      <x:c r="D47" s="35" t="str">
        <x:v>테이블명 변경/대체</x:v>
      </x:c>
      <x:c r="E47" s="35" t="str">
        <x:v>SYS_CRT_DT</x:v>
      </x:c>
      <x:c r="F47" s="35" t="str">
        <x:v>SYS_GEN_DT</x:v>
      </x:c>
      <x:c r="G47" s="35" t="str">
        <x:v>이름변경</x:v>
      </x:c>
      <x:c r="H47" s="35" t="str">
        <x:v>높음</x:v>
      </x:c>
      <x:c r="I47" s="35" t="str">
        <x:v>DATETIME | NULL</x:v>
      </x:c>
      <x:c r="J47" s="35" t="str">
        <x:v>DATETIME | NULL</x:v>
      </x:c>
      <x:c r="K47" s="35" t="str">
        <x:v>SYS_CRT_DT → SYS_GEN_DT</x:v>
      </x:c>
      <x:c r="L47" s="35" t="str">
        <x:v>시스템 등록 일시</x:v>
      </x:c>
      <x:c r="M47" s="35" t="str">
        <x:v>시스템생성일시</x:v>
      </x:c>
      <x:c r="N47" s="35" t="str">
        <x:v>중간</x:v>
      </x:c>
      <x:c r="O47" s="35" t="str">
        <x:v>SYS_BBS_BRD.SYS_CRT_DT 참조를 SYS_BBS_PST.SYS_GEN_DT로 변경하고 SQL alias/직렬화 명칭 점검; 테이블 참조 SYS_BBS_BRD → SYS_BBS_PST 변경</x:v>
      </x:c>
      <x:c r="P47" s="35" t="str">
        <x:v>미착수</x:v>
      </x:c>
      <x:c r="Q47" s="35" t="str"/>
      <x:c r="R47" s="35" t="str"/>
    </x:row>
    <x:row r="48">
      <x:c r="A48" s="35" t="n">
        <x:v>44</x:v>
      </x:c>
      <x:c r="B48" s="35" t="str">
        <x:v>SYS_BBS_BRD</x:v>
      </x:c>
      <x:c r="C48" s="35" t="str">
        <x:v>SYS_BBS_PST</x:v>
      </x:c>
      <x:c r="D48" s="35" t="str">
        <x:v>테이블명 변경/대체</x:v>
      </x:c>
      <x:c r="E48" s="35" t="str">
        <x:v>SYS_UPD_USR_ID</x:v>
      </x:c>
      <x:c r="F48" s="35" t="str">
        <x:v>SYS_MDFR_ID</x:v>
      </x:c>
      <x:c r="G48" s="35" t="str">
        <x:v>이름+정의 변경</x:v>
      </x:c>
      <x:c r="H48" s="35" t="str">
        <x:v>높음</x:v>
      </x:c>
      <x:c r="I48" s="35" t="str">
        <x:v>VARCHAR(50) | NULL</x:v>
      </x:c>
      <x:c r="J48" s="35" t="str">
        <x:v>VARCHAR(20) | NULL</x:v>
      </x:c>
      <x:c r="K48" s="35" t="str">
        <x:v>VARCHAR(50) → VARCHAR(20)</x:v>
      </x:c>
      <x:c r="L48" s="35" t="str">
        <x:v>시스템 수정자 ID</x:v>
      </x:c>
      <x:c r="M48" s="35" t="str">
        <x:v>시스템수정자ID</x:v>
      </x:c>
      <x:c r="N48" s="35" t="str">
        <x:v>중간</x:v>
      </x:c>
      <x:c r="O48" s="35" t="str">
        <x:v>코드 변경 불필요. 회귀 테스트만 수행; 테이블 참조 SYS_BBS_BRD → SYS_BBS_PST 변경</x:v>
      </x:c>
      <x:c r="P48" s="35" t="str">
        <x:v>미착수</x:v>
      </x:c>
      <x:c r="Q48" s="35" t="str"/>
      <x:c r="R48" s="35" t="str"/>
    </x:row>
    <x:row r="49">
      <x:c r="A49" s="35" t="n">
        <x:v>45</x:v>
      </x:c>
      <x:c r="B49" s="35" t="str">
        <x:v>SYS_BBS_BRD</x:v>
      </x:c>
      <x:c r="C49" s="35" t="str">
        <x:v>SYS_BBS_PST</x:v>
      </x:c>
      <x:c r="D49" s="35" t="str">
        <x:v>테이블명 변경/대체</x:v>
      </x:c>
      <x:c r="E49" s="35" t="str">
        <x:v>SYS_UPD_DT</x:v>
      </x:c>
      <x:c r="F49" s="35" t="str">
        <x:v>SYS_MDFCN_DT</x:v>
      </x:c>
      <x:c r="G49" s="35" t="str">
        <x:v>이름변경</x:v>
      </x:c>
      <x:c r="H49" s="35" t="str">
        <x:v>높음</x:v>
      </x:c>
      <x:c r="I49" s="35" t="str">
        <x:v>DATETIME | NULL</x:v>
      </x:c>
      <x:c r="J49" s="35" t="str">
        <x:v>DATETIME | NULL</x:v>
      </x:c>
      <x:c r="K49" s="35" t="str">
        <x:v>SYS_UPD_DT → SYS_MDFCN_DT</x:v>
      </x:c>
      <x:c r="L49" s="35" t="str">
        <x:v>시스템 수정 일시</x:v>
      </x:c>
      <x:c r="M49" s="35" t="str">
        <x:v>시스템수정일시</x:v>
      </x:c>
      <x:c r="N49" s="35" t="str">
        <x:v>중간</x:v>
      </x:c>
      <x:c r="O49" s="35" t="str">
        <x:v>SYS_BBS_BRD.SYS_UPD_DT 참조를 SYS_BBS_PST.SYS_MDFCN_DT로 변경하고 SQL alias/직렬화 명칭 점검; 테이블 참조 SYS_BBS_BRD → SYS_BBS_PST 변경</x:v>
      </x:c>
      <x:c r="P49" s="35" t="str">
        <x:v>미착수</x:v>
      </x:c>
      <x:c r="Q49" s="35" t="str"/>
      <x:c r="R49" s="35" t="str"/>
    </x:row>
    <x:row r="50">
      <x:c r="A50" s="35" t="n">
        <x:v>46</x:v>
      </x:c>
      <x:c r="B50" s="35" t="str">
        <x:v>SYS_BBS_BRD</x:v>
      </x:c>
      <x:c r="C50" s="35" t="str">
        <x:v>SYS_BBS_PST</x:v>
      </x:c>
      <x:c r="D50" s="35" t="str">
        <x:v>테이블명 변경/대체</x:v>
      </x:c>
      <x:c r="E50" s="35" t="str">
        <x:v>FILE_UUID</x:v>
      </x:c>
      <x:c r="F50" s="35" t="str">
        <x:v>FILE_UUID</x:v>
      </x:c>
      <x:c r="G50" s="35" t="str">
        <x:v>유지</x:v>
      </x:c>
      <x:c r="H50" s="35" t="str">
        <x:v>확실</x:v>
      </x:c>
      <x:c r="I50" s="35" t="str">
        <x:v>VARCHAR(50) | NULL</x:v>
      </x:c>
      <x:c r="J50" s="35" t="str">
        <x:v>VARCHAR(50) | NULL</x:v>
      </x:c>
      <x:c r="K50" s="35" t="str">
        <x:v>동일</x:v>
      </x:c>
      <x:c r="L50" s="35" t="str">
        <x:v>파일 UUID</x:v>
      </x:c>
      <x:c r="M50" s="35" t="str">
        <x:v>파일UUID</x:v>
      </x:c>
      <x:c r="N50" s="35" t="str">
        <x:v>중간</x:v>
      </x:c>
      <x:c r="O50" s="35" t="str">
        <x:v>코드 변경 불필요. 회귀 테스트만 수행; 테이블 참조 SYS_BBS_BRD → SYS_BBS_PST 변경</x:v>
      </x:c>
      <x:c r="P50" s="35" t="str">
        <x:v>해당없음</x:v>
      </x:c>
      <x:c r="Q50" s="35" t="str"/>
      <x:c r="R50" s="35" t="str"/>
    </x:row>
    <x:row r="51">
      <x:c r="A51" s="35" t="n">
        <x:v>47</x:v>
      </x:c>
      <x:c r="B51" s="35" t="str">
        <x:v>SYS_BBS_RPLY</x:v>
      </x:c>
      <x:c r="C51" s="35" t="str">
        <x:v>SYS_BBS_CMNT</x:v>
      </x:c>
      <x:c r="D51" s="35" t="str">
        <x:v>테이블명 변경/대체</x:v>
      </x:c>
      <x:c r="E51" s="35" t="str">
        <x:v>REPLY_ID</x:v>
      </x:c>
      <x:c r="F51" s="35" t="str">
        <x:v>CMNT_ID</x:v>
      </x:c>
      <x:c r="G51" s="35" t="str">
        <x:v>이름변경</x:v>
      </x:c>
      <x:c r="H51" s="35" t="str">
        <x:v>높음</x:v>
      </x:c>
      <x:c r="I51" s="35" t="str">
        <x:v>VARCHAR(50) | NOT NULL | PK</x:v>
      </x:c>
      <x:c r="J51" s="35" t="str">
        <x:v>VARCHAR(50) | NOT NULL | PK</x:v>
      </x:c>
      <x:c r="K51" s="35" t="str">
        <x:v>REPLY_ID → CMNT_ID</x:v>
      </x:c>
      <x:c r="L51" s="35" t="str">
        <x:v>댓글 ID</x:v>
      </x:c>
      <x:c r="M51" s="35" t="str">
        <x:v>댓글ID</x:v>
      </x:c>
      <x:c r="N51" s="35" t="str">
        <x:v>중간</x:v>
      </x:c>
      <x:c r="O51" s="35" t="str">
        <x:v>SYS_BBS_RPLY.REPLY_ID 참조를 SYS_BBS_CMNT.CMNT_ID로 변경하고 SQL alias/직렬화 명칭 점검; 테이블 참조 SYS_BBS_RPLY → SYS_BBS_CMNT 변경</x:v>
      </x:c>
      <x:c r="P51" s="35" t="str">
        <x:v>미착수</x:v>
      </x:c>
      <x:c r="Q51" s="35" t="str"/>
      <x:c r="R51" s="35" t="str"/>
    </x:row>
    <x:row r="52">
      <x:c r="A52" s="35" t="n">
        <x:v>48</x:v>
      </x:c>
      <x:c r="B52" s="35" t="str">
        <x:v>SYS_BBS_RPLY</x:v>
      </x:c>
      <x:c r="C52" s="35" t="str">
        <x:v>SYS_BBS_CMNT</x:v>
      </x:c>
      <x:c r="D52" s="35" t="str">
        <x:v>테이블명 변경/대체</x:v>
      </x:c>
      <x:c r="E52" s="35" t="str">
        <x:v>BOARD_ID</x:v>
      </x:c>
      <x:c r="F52" s="35" t="str">
        <x:v>PST_ID</x:v>
      </x:c>
      <x:c r="G52" s="35" t="str">
        <x:v>이름변경</x:v>
      </x:c>
      <x:c r="H52" s="35" t="str">
        <x:v>높음</x:v>
      </x:c>
      <x:c r="I52" s="35" t="str">
        <x:v>VARCHAR(50) | NOT NULL</x:v>
      </x:c>
      <x:c r="J52" s="35" t="str">
        <x:v>VARCHAR(50) | NOT NULL</x:v>
      </x:c>
      <x:c r="K52" s="35" t="str">
        <x:v>BOARD_ID → PST_ID</x:v>
      </x:c>
      <x:c r="L52" s="35" t="str">
        <x:v>게시물 ID</x:v>
      </x:c>
      <x:c r="M52" s="35" t="str">
        <x:v>게시물ID</x:v>
      </x:c>
      <x:c r="N52" s="35" t="str">
        <x:v>중간</x:v>
      </x:c>
      <x:c r="O52" s="35" t="str">
        <x:v>SYS_BBS_RPLY.BOARD_ID 참조를 SYS_BBS_CMNT.PST_ID로 변경하고 SQL alias/직렬화 명칭 점검; 테이블 참조 SYS_BBS_RPLY → SYS_BBS_CMNT 변경</x:v>
      </x:c>
      <x:c r="P52" s="35" t="str">
        <x:v>미착수</x:v>
      </x:c>
      <x:c r="Q52" s="35" t="str"/>
      <x:c r="R52" s="35" t="str"/>
    </x:row>
    <x:row r="53">
      <x:c r="A53" s="35" t="n">
        <x:v>49</x:v>
      </x:c>
      <x:c r="B53" s="35" t="str">
        <x:v>SYS_BBS_RPLY</x:v>
      </x:c>
      <x:c r="C53" s="35" t="str">
        <x:v>SYS_BBS_CMNT</x:v>
      </x:c>
      <x:c r="D53" s="35" t="str">
        <x:v>테이블명 변경/대체</x:v>
      </x:c>
      <x:c r="E53" s="35" t="str">
        <x:v>PARENT_REPLY_ID</x:v>
      </x:c>
      <x:c r="F53" s="35" t="str">
        <x:v>PRNT_CMNT_ID</x:v>
      </x:c>
      <x:c r="G53" s="35" t="str">
        <x:v>이름변경</x:v>
      </x:c>
      <x:c r="H53" s="35" t="str">
        <x:v>높음</x:v>
      </x:c>
      <x:c r="I53" s="35" t="str">
        <x:v>VARCHAR(50) | NULL</x:v>
      </x:c>
      <x:c r="J53" s="35" t="str">
        <x:v>VARCHAR(50) | NULL</x:v>
      </x:c>
      <x:c r="K53" s="35" t="str">
        <x:v>PARENT_REPLY_ID → PRNT_CMNT_ID</x:v>
      </x:c>
      <x:c r="L53" s="35" t="str">
        <x:v>부모 댓글 ID</x:v>
      </x:c>
      <x:c r="M53" s="35" t="str">
        <x:v>부모댓글ID</x:v>
      </x:c>
      <x:c r="N53" s="35" t="str">
        <x:v>중간</x:v>
      </x:c>
      <x:c r="O53" s="35" t="str">
        <x:v>SYS_BBS_RPLY.PARENT_REPLY_ID 참조를 SYS_BBS_CMNT.PRNT_CMNT_ID로 변경하고 SQL alias/직렬화 명칭 점검; 테이블 참조 SYS_BBS_RPLY → SYS_BBS_CMNT 변경</x:v>
      </x:c>
      <x:c r="P53" s="35" t="str">
        <x:v>미착수</x:v>
      </x:c>
      <x:c r="Q53" s="35" t="str"/>
      <x:c r="R53" s="35" t="str"/>
    </x:row>
    <x:row r="54">
      <x:c r="A54" s="35" t="n">
        <x:v>50</x:v>
      </x:c>
      <x:c r="B54" s="35" t="str">
        <x:v>SYS_BBS_RPLY</x:v>
      </x:c>
      <x:c r="C54" s="35" t="str">
        <x:v>SYS_BBS_CMNT</x:v>
      </x:c>
      <x:c r="D54" s="35" t="str">
        <x:v>테이블명 변경/대체</x:v>
      </x:c>
      <x:c r="E54" s="35" t="str">
        <x:v>CONTENT</x:v>
      </x:c>
      <x:c r="F54" s="35" t="str">
        <x:v>CN</x:v>
      </x:c>
      <x:c r="G54" s="35" t="str">
        <x:v>이름변경</x:v>
      </x:c>
      <x:c r="H54" s="35" t="str">
        <x:v>높음</x:v>
      </x:c>
      <x:c r="I54" s="35" t="str">
        <x:v>TEXT | NOT NULL</x:v>
      </x:c>
      <x:c r="J54" s="35" t="str">
        <x:v>TEXT | NOT NULL</x:v>
      </x:c>
      <x:c r="K54" s="35" t="str">
        <x:v>CONTENT → CN</x:v>
      </x:c>
      <x:c r="L54" s="35" t="str">
        <x:v>댓글 내용</x:v>
      </x:c>
      <x:c r="M54" s="35" t="str">
        <x:v>내용</x:v>
      </x:c>
      <x:c r="N54" s="35" t="str">
        <x:v>중간</x:v>
      </x:c>
      <x:c r="O54" s="35" t="str">
        <x:v>SYS_BBS_RPLY.CONTENT 참조를 SYS_BBS_CMNT.CN로 변경하고 SQL alias/직렬화 명칭 점검; 테이블 참조 SYS_BBS_RPLY → SYS_BBS_CMNT 변경</x:v>
      </x:c>
      <x:c r="P54" s="35" t="str">
        <x:v>미착수</x:v>
      </x:c>
      <x:c r="Q54" s="35" t="str"/>
      <x:c r="R54" s="35" t="str"/>
    </x:row>
    <x:row r="55">
      <x:c r="A55" s="35" t="n">
        <x:v>51</x:v>
      </x:c>
      <x:c r="B55" s="35" t="str">
        <x:v>SYS_BBS_RPLY</x:v>
      </x:c>
      <x:c r="C55" s="35" t="str">
        <x:v>SYS_BBS_CMNT</x:v>
      </x:c>
      <x:c r="D55" s="35" t="str">
        <x:v>테이블명 변경/대체</x:v>
      </x:c>
      <x:c r="E55" s="35" t="str">
        <x:v>WRTR_NM</x:v>
      </x:c>
      <x:c r="F55" s="35" t="str">
        <x:v>WRTR_NM</x:v>
      </x:c>
      <x:c r="G55" s="35" t="str">
        <x:v>유지</x:v>
      </x:c>
      <x:c r="H55" s="35" t="str">
        <x:v>확실</x:v>
      </x:c>
      <x:c r="I55" s="35" t="str">
        <x:v>VARCHAR(100) | NULL</x:v>
      </x:c>
      <x:c r="J55" s="35" t="str">
        <x:v>VARCHAR(100) | NULL</x:v>
      </x:c>
      <x:c r="K55" s="35" t="str">
        <x:v>동일</x:v>
      </x:c>
      <x:c r="L55" s="35" t="str">
        <x:v>작성자 이름</x:v>
      </x:c>
      <x:c r="M55" s="35" t="str">
        <x:v>작성자명</x:v>
      </x:c>
      <x:c r="N55" s="35" t="str">
        <x:v>중간</x:v>
      </x:c>
      <x:c r="O55" s="35" t="str">
        <x:v>코드 변경 불필요. 회귀 테스트만 수행; 테이블 참조 SYS_BBS_RPLY → SYS_BBS_CMNT 변경</x:v>
      </x:c>
      <x:c r="P55" s="35" t="str">
        <x:v>해당없음</x:v>
      </x:c>
      <x:c r="Q55" s="35" t="str"/>
      <x:c r="R55" s="35" t="str"/>
    </x:row>
    <x:row r="56">
      <x:c r="A56" s="35" t="n">
        <x:v>52</x:v>
      </x:c>
      <x:c r="B56" s="35" t="str">
        <x:v>SYS_BBS_RPLY</x:v>
      </x:c>
      <x:c r="C56" s="35" t="str">
        <x:v>SYS_BBS_CMNT</x:v>
      </x:c>
      <x:c r="D56" s="35" t="str">
        <x:v>테이블명 변경/대체</x:v>
      </x:c>
      <x:c r="E56" s="35" t="str">
        <x:v>SYS_CRT_USR_ID</x:v>
      </x:c>
      <x:c r="F56" s="35" t="str">
        <x:v>SYS_CRT_USR_ID</x:v>
      </x:c>
      <x:c r="G56" s="35" t="str">
        <x:v>유지</x:v>
      </x:c>
      <x:c r="H56" s="35" t="str">
        <x:v>확실</x:v>
      </x:c>
      <x:c r="I56" s="35" t="str">
        <x:v>VARCHAR(100) | NULL</x:v>
      </x:c>
      <x:c r="J56" s="35" t="str">
        <x:v>VARCHAR(100) | NULL</x:v>
      </x:c>
      <x:c r="K56" s="35" t="str">
        <x:v>동일</x:v>
      </x:c>
      <x:c r="L56" s="35" t="str">
        <x:v>시스템 작성자ID</x:v>
      </x:c>
      <x:c r="M56" s="35" t="str">
        <x:v>시스템작성자ID</x:v>
      </x:c>
      <x:c r="N56" s="35" t="str">
        <x:v>중간</x:v>
      </x:c>
      <x:c r="O56" s="35" t="str">
        <x:v>코드 변경 불필요. 회귀 테스트만 수행; 테이블 참조 SYS_BBS_RPLY → SYS_BBS_CMNT 변경</x:v>
      </x:c>
      <x:c r="P56" s="35" t="str">
        <x:v>해당없음</x:v>
      </x:c>
      <x:c r="Q56" s="35" t="str"/>
      <x:c r="R56" s="35" t="str"/>
    </x:row>
    <x:row r="57">
      <x:c r="A57" s="35" t="n">
        <x:v>53</x:v>
      </x:c>
      <x:c r="B57" s="35" t="str">
        <x:v>SYS_BBS_RPLY</x:v>
      </x:c>
      <x:c r="C57" s="35" t="str">
        <x:v>SYS_BBS_CMNT</x:v>
      </x:c>
      <x:c r="D57" s="35" t="str">
        <x:v>테이블명 변경/대체</x:v>
      </x:c>
      <x:c r="E57" s="35" t="str">
        <x:v>SYS_CRT_DT</x:v>
      </x:c>
      <x:c r="F57" s="35" t="str">
        <x:v>SYS_GEN_DT</x:v>
      </x:c>
      <x:c r="G57" s="35" t="str">
        <x:v>이름변경</x:v>
      </x:c>
      <x:c r="H57" s="35" t="str">
        <x:v>높음</x:v>
      </x:c>
      <x:c r="I57" s="35" t="str">
        <x:v>DATETIME | NULL</x:v>
      </x:c>
      <x:c r="J57" s="35" t="str">
        <x:v>DATETIME | NULL</x:v>
      </x:c>
      <x:c r="K57" s="35" t="str">
        <x:v>SYS_CRT_DT → SYS_GEN_DT</x:v>
      </x:c>
      <x:c r="L57" s="35" t="str">
        <x:v>시슷템 등록 일시</x:v>
      </x:c>
      <x:c r="M57" s="35" t="str">
        <x:v>시스템생성일시</x:v>
      </x:c>
      <x:c r="N57" s="35" t="str">
        <x:v>중간</x:v>
      </x:c>
      <x:c r="O57" s="35" t="str">
        <x:v>SYS_BBS_RPLY.SYS_CRT_DT 참조를 SYS_BBS_CMNT.SYS_GEN_DT로 변경하고 SQL alias/직렬화 명칭 점검; 테이블 참조 SYS_BBS_RPLY → SYS_BBS_CMNT 변경</x:v>
      </x:c>
      <x:c r="P57" s="35" t="str">
        <x:v>미착수</x:v>
      </x:c>
      <x:c r="Q57" s="35" t="str"/>
      <x:c r="R57" s="35" t="str"/>
    </x:row>
    <x:row r="58">
      <x:c r="A58" s="35" t="n">
        <x:v>54</x:v>
      </x:c>
      <x:c r="B58" s="35" t="str">
        <x:v>SYS_BBS_RPLY</x:v>
      </x:c>
      <x:c r="C58" s="35" t="str">
        <x:v>SYS_BBS_CMNT</x:v>
      </x:c>
      <x:c r="D58" s="35" t="str">
        <x:v>테이블명 변경/대체</x:v>
      </x:c>
      <x:c r="E58" s="35" t="str">
        <x:v>SYS_UPD_USR_ID</x:v>
      </x:c>
      <x:c r="F58" s="35" t="str">
        <x:v>SYS_MDFR_ID</x:v>
      </x:c>
      <x:c r="G58" s="35" t="str">
        <x:v>이름+정의 변경</x:v>
      </x:c>
      <x:c r="H58" s="35" t="str">
        <x:v>높음</x:v>
      </x:c>
      <x:c r="I58" s="35" t="str">
        <x:v>VARCHAR(100) | NULL</x:v>
      </x:c>
      <x:c r="J58" s="35" t="str">
        <x:v>VARCHAR(20) | NULL</x:v>
      </x:c>
      <x:c r="K58" s="35" t="str">
        <x:v>VARCHAR(100) → VARCHAR(20)</x:v>
      </x:c>
      <x:c r="L58" s="35" t="str">
        <x:v>시스템 수정자ID</x:v>
      </x:c>
      <x:c r="M58" s="35" t="str">
        <x:v>시스템수정자ID</x:v>
      </x:c>
      <x:c r="N58" s="35" t="str">
        <x:v>중간</x:v>
      </x:c>
      <x:c r="O58" s="35" t="str">
        <x:v>코드 변경 불필요. 회귀 테스트만 수행; 테이블 참조 SYS_BBS_RPLY → SYS_BBS_CMNT 변경</x:v>
      </x:c>
      <x:c r="P58" s="35" t="str">
        <x:v>미착수</x:v>
      </x:c>
      <x:c r="Q58" s="35" t="str"/>
      <x:c r="R58" s="35" t="str"/>
    </x:row>
    <x:row r="59">
      <x:c r="A59" s="35" t="n">
        <x:v>55</x:v>
      </x:c>
      <x:c r="B59" s="35" t="str">
        <x:v>SYS_BBS_RPLY</x:v>
      </x:c>
      <x:c r="C59" s="35" t="str">
        <x:v>SYS_BBS_CMNT</x:v>
      </x:c>
      <x:c r="D59" s="35" t="str">
        <x:v>테이블명 변경/대체</x:v>
      </x:c>
      <x:c r="E59" s="35" t="str">
        <x:v>SYS_UPD_DT</x:v>
      </x:c>
      <x:c r="F59" s="35" t="str">
        <x:v>SYS_MDFCN_DT</x:v>
      </x:c>
      <x:c r="G59" s="35" t="str">
        <x:v>이름변경</x:v>
      </x:c>
      <x:c r="H59" s="35" t="str">
        <x:v>높음</x:v>
      </x:c>
      <x:c r="I59" s="35" t="str">
        <x:v>DATETIME | NULL</x:v>
      </x:c>
      <x:c r="J59" s="35" t="str">
        <x:v>DATETIME | NULL</x:v>
      </x:c>
      <x:c r="K59" s="35" t="str">
        <x:v>SYS_UPD_DT → SYS_MDFCN_DT</x:v>
      </x:c>
      <x:c r="L59" s="35" t="str">
        <x:v>시스템 수정 일시</x:v>
      </x:c>
      <x:c r="M59" s="35" t="str">
        <x:v>시스템수정일시</x:v>
      </x:c>
      <x:c r="N59" s="35" t="str">
        <x:v>중간</x:v>
      </x:c>
      <x:c r="O59" s="35" t="str">
        <x:v>SYS_BBS_RPLY.SYS_UPD_DT 참조를 SYS_BBS_CMNT.SYS_MDFCN_DT로 변경하고 SQL alias/직렬화 명칭 점검; 테이블 참조 SYS_BBS_RPLY → SYS_BBS_CMNT 변경</x:v>
      </x:c>
      <x:c r="P59" s="35" t="str">
        <x:v>미착수</x:v>
      </x:c>
      <x:c r="Q59" s="35" t="str"/>
      <x:c r="R59" s="35" t="str"/>
    </x:row>
    <x:row r="60">
      <x:c r="A60" s="35" t="n">
        <x:v>56</x:v>
      </x:c>
      <x:c r="B60" s="35" t="str">
        <x:v>SYS_CD_GRP</x:v>
      </x:c>
      <x:c r="C60" s="35" t="str">
        <x:v>SYS_CD_GRP</x:v>
      </x:c>
      <x:c r="D60" s="35" t="str">
        <x:v>테이블 유지</x:v>
      </x:c>
      <x:c r="E60" s="35" t="str">
        <x:v>GRP_ID</x:v>
      </x:c>
      <x:c r="F60" s="35" t="str">
        <x:v>GRP_ID</x:v>
      </x:c>
      <x:c r="G60" s="35" t="str">
        <x:v>유지</x:v>
      </x:c>
      <x:c r="H60" s="35" t="str">
        <x:v>확실</x:v>
      </x:c>
      <x:c r="I60" s="35" t="str">
        <x:v>VARCHAR(100) | NOT NULL | PK</x:v>
      </x:c>
      <x:c r="J60" s="35" t="str">
        <x:v>VARCHAR(100) | NOT NULL | PK</x:v>
      </x:c>
      <x:c r="K60" s="35" t="str">
        <x:v>동일</x:v>
      </x:c>
      <x:c r="L60" s="35" t="str">
        <x:v>그룹아이디</x:v>
      </x:c>
      <x:c r="M60" s="35" t="str">
        <x:v>그룹아이디</x:v>
      </x:c>
      <x:c r="N60" s="35" t="str">
        <x:v>낮음</x:v>
      </x:c>
      <x:c r="O60" s="35" t="str">
        <x:v>코드 변경 불필요. 회귀 테스트만 수행</x:v>
      </x:c>
      <x:c r="P60" s="35" t="str">
        <x:v>해당없음</x:v>
      </x:c>
      <x:c r="Q60" s="35" t="str"/>
      <x:c r="R60" s="35" t="str"/>
    </x:row>
    <x:row r="61">
      <x:c r="A61" s="35" t="n">
        <x:v>57</x:v>
      </x:c>
      <x:c r="B61" s="35" t="str">
        <x:v>SYS_CD_GRP</x:v>
      </x:c>
      <x:c r="C61" s="35" t="str">
        <x:v>SYS_CD_GRP</x:v>
      </x:c>
      <x:c r="D61" s="35" t="str">
        <x:v>테이블 유지</x:v>
      </x:c>
      <x:c r="E61" s="35" t="str">
        <x:v>GRP_NM</x:v>
      </x:c>
      <x:c r="F61" s="35" t="str">
        <x:v>GRP_NM</x:v>
      </x:c>
      <x:c r="G61" s="35" t="str">
        <x:v>유지</x:v>
      </x:c>
      <x:c r="H61" s="35" t="str">
        <x:v>확실</x:v>
      </x:c>
      <x:c r="I61" s="35" t="str">
        <x:v>VARCHAR(80) | NULL</x:v>
      </x:c>
      <x:c r="J61" s="35" t="str">
        <x:v>VARCHAR(80) | NULL</x:v>
      </x:c>
      <x:c r="K61" s="35" t="str">
        <x:v>동일</x:v>
      </x:c>
      <x:c r="L61" s="35" t="str">
        <x:v>그룹명</x:v>
      </x:c>
      <x:c r="M61" s="35" t="str">
        <x:v>그룹명</x:v>
      </x:c>
      <x:c r="N61" s="35" t="str">
        <x:v>낮음</x:v>
      </x:c>
      <x:c r="O61" s="35" t="str">
        <x:v>코드 변경 불필요. 회귀 테스트만 수행</x:v>
      </x:c>
      <x:c r="P61" s="35" t="str">
        <x:v>해당없음</x:v>
      </x:c>
      <x:c r="Q61" s="35" t="str"/>
      <x:c r="R61" s="35" t="str"/>
    </x:row>
    <x:row r="62">
      <x:c r="A62" s="35" t="n">
        <x:v>58</x:v>
      </x:c>
      <x:c r="B62" s="35" t="str">
        <x:v>SYS_CD_GRP</x:v>
      </x:c>
      <x:c r="C62" s="35" t="str">
        <x:v>SYS_CD_GRP</x:v>
      </x:c>
      <x:c r="D62" s="35" t="str">
        <x:v>테이블 유지</x:v>
      </x:c>
      <x:c r="E62" s="35" t="str">
        <x:v>SYS_CRT_DT</x:v>
      </x:c>
      <x:c r="F62" s="35" t="str">
        <x:v>SYS_GEN_DT</x:v>
      </x:c>
      <x:c r="G62" s="35" t="str">
        <x:v>이름변경</x:v>
      </x:c>
      <x:c r="H62" s="35" t="str">
        <x:v>높음</x:v>
      </x:c>
      <x:c r="I62" s="35" t="str">
        <x:v>DATETIME | NULL</x:v>
      </x:c>
      <x:c r="J62" s="35" t="str">
        <x:v>DATETIME | NULL</x:v>
      </x:c>
      <x:c r="K62" s="35" t="str">
        <x:v>SYS_CRT_DT → SYS_GEN_DT</x:v>
      </x:c>
      <x:c r="L62" s="35" t="str">
        <x:v>작성일</x:v>
      </x:c>
      <x:c r="M62" s="35" t="str">
        <x:v>시스템생성일시</x:v>
      </x:c>
      <x:c r="N62" s="35" t="str">
        <x:v>중간</x:v>
      </x:c>
      <x:c r="O62" s="35" t="str">
        <x:v>SYS_CD_GRP.SYS_CRT_DT 참조를 SYS_CD_GRP.SYS_GEN_DT로 변경하고 SQL alias/직렬화 명칭 점검</x:v>
      </x:c>
      <x:c r="P62" s="35" t="str">
        <x:v>미착수</x:v>
      </x:c>
      <x:c r="Q62" s="35" t="str"/>
      <x:c r="R62" s="35" t="str"/>
    </x:row>
    <x:row r="63">
      <x:c r="A63" s="35" t="n">
        <x:v>59</x:v>
      </x:c>
      <x:c r="B63" s="35" t="str">
        <x:v>SYS_CD_GRP</x:v>
      </x:c>
      <x:c r="C63" s="35" t="str">
        <x:v>SYS_CD_GRP</x:v>
      </x:c>
      <x:c r="D63" s="35" t="str">
        <x:v>테이블 유지</x:v>
      </x:c>
      <x:c r="E63" s="35" t="str">
        <x:v>SYS_CRT_USR_ID</x:v>
      </x:c>
      <x:c r="F63" s="35" t="str">
        <x:v>SYS_CRT_USR_ID</x:v>
      </x:c>
      <x:c r="G63" s="35" t="str">
        <x:v>유지</x:v>
      </x:c>
      <x:c r="H63" s="35" t="str">
        <x:v>확실</x:v>
      </x:c>
      <x:c r="I63" s="35" t="str">
        <x:v>VARCHAR(32) | NULL</x:v>
      </x:c>
      <x:c r="J63" s="35" t="str">
        <x:v>VARCHAR(32) | NULL</x:v>
      </x:c>
      <x:c r="K63" s="35" t="str">
        <x:v>동일</x:v>
      </x:c>
      <x:c r="L63" s="35" t="str">
        <x:v>작성자ID</x:v>
      </x:c>
      <x:c r="M63" s="35" t="str">
        <x:v>시스템생성자ID</x:v>
      </x:c>
      <x:c r="N63" s="35" t="str">
        <x:v>낮음</x:v>
      </x:c>
      <x:c r="O63" s="35" t="str">
        <x:v>코드 변경 불필요. 회귀 테스트만 수행</x:v>
      </x:c>
      <x:c r="P63" s="35" t="str">
        <x:v>해당없음</x:v>
      </x:c>
      <x:c r="Q63" s="35" t="str"/>
      <x:c r="R63" s="35" t="str"/>
    </x:row>
    <x:row r="64">
      <x:c r="A64" s="35" t="n">
        <x:v>60</x:v>
      </x:c>
      <x:c r="B64" s="35" t="str">
        <x:v>SYS_CD_GRP</x:v>
      </x:c>
      <x:c r="C64" s="35" t="str">
        <x:v>SYS_CD_GRP</x:v>
      </x:c>
      <x:c r="D64" s="35" t="str">
        <x:v>테이블 유지</x:v>
      </x:c>
      <x:c r="E64" s="35" t="str">
        <x:v>SYS_UPD_DT</x:v>
      </x:c>
      <x:c r="F64" s="35" t="str">
        <x:v>SYS_MDFCN_DT</x:v>
      </x:c>
      <x:c r="G64" s="35" t="str">
        <x:v>이름변경</x:v>
      </x:c>
      <x:c r="H64" s="35" t="str">
        <x:v>높음</x:v>
      </x:c>
      <x:c r="I64" s="35" t="str">
        <x:v>DATETIME | NULL</x:v>
      </x:c>
      <x:c r="J64" s="35" t="str">
        <x:v>DATETIME | NULL</x:v>
      </x:c>
      <x:c r="K64" s="35" t="str">
        <x:v>SYS_UPD_DT → SYS_MDFCN_DT</x:v>
      </x:c>
      <x:c r="L64" s="35" t="str">
        <x:v>수정일</x:v>
      </x:c>
      <x:c r="M64" s="35" t="str">
        <x:v>시스템수정일시</x:v>
      </x:c>
      <x:c r="N64" s="35" t="str">
        <x:v>중간</x:v>
      </x:c>
      <x:c r="O64" s="35" t="str">
        <x:v>SYS_CD_GRP.SYS_UPD_DT 참조를 SYS_CD_GRP.SYS_MDFCN_DT로 변경하고 SQL alias/직렬화 명칭 점검</x:v>
      </x:c>
      <x:c r="P64" s="35" t="str">
        <x:v>미착수</x:v>
      </x:c>
      <x:c r="Q64" s="35" t="str"/>
      <x:c r="R64" s="35" t="str"/>
    </x:row>
    <x:row r="65">
      <x:c r="A65" s="35" t="n">
        <x:v>61</x:v>
      </x:c>
      <x:c r="B65" s="35" t="str">
        <x:v>SYS_CD_GRP</x:v>
      </x:c>
      <x:c r="C65" s="35" t="str">
        <x:v>SYS_CD_GRP</x:v>
      </x:c>
      <x:c r="D65" s="35" t="str">
        <x:v>테이블 유지</x:v>
      </x:c>
      <x:c r="E65" s="35" t="str">
        <x:v>SYS_UPD_USR_ID</x:v>
      </x:c>
      <x:c r="F65" s="35" t="str">
        <x:v>SYS_MDFR_ID</x:v>
      </x:c>
      <x:c r="G65" s="35" t="str">
        <x:v>이름+정의 변경</x:v>
      </x:c>
      <x:c r="H65" s="35" t="str">
        <x:v>높음</x:v>
      </x:c>
      <x:c r="I65" s="35" t="str">
        <x:v>VARCHAR(32) | NULL</x:v>
      </x:c>
      <x:c r="J65" s="35" t="str">
        <x:v>VARCHAR(20) | NULL</x:v>
      </x:c>
      <x:c r="K65" s="35" t="str">
        <x:v>VARCHAR(32) → VARCHAR(20)</x:v>
      </x:c>
      <x:c r="L65" s="35" t="str">
        <x:v>수정자ID</x:v>
      </x:c>
      <x:c r="M65" s="35" t="str">
        <x:v>시스템수정자ID</x:v>
      </x:c>
      <x:c r="N65" s="35" t="str">
        <x:v>낮음</x:v>
      </x:c>
      <x:c r="O65" s="35" t="str">
        <x:v>코드 변경 불필요. 회귀 테스트만 수행</x:v>
      </x:c>
      <x:c r="P65" s="35" t="str">
        <x:v>미착수</x:v>
      </x:c>
      <x:c r="Q65" s="35" t="str"/>
      <x:c r="R65" s="35" t="str"/>
    </x:row>
    <x:row r="66">
      <x:c r="A66" s="35" t="n">
        <x:v>62</x:v>
      </x:c>
      <x:c r="B66" s="35" t="str">
        <x:v>SYS_CD_GRP</x:v>
      </x:c>
      <x:c r="C66" s="35" t="str">
        <x:v>SYS_CD_GRP</x:v>
      </x:c>
      <x:c r="D66" s="35" t="str">
        <x:v>테이블 유지</x:v>
      </x:c>
      <x:c r="E66" s="35" t="str">
        <x:v>USE_YN</x:v>
      </x:c>
      <x:c r="F66" s="35" t="str">
        <x:v>USE_YN</x:v>
      </x:c>
      <x:c r="G66" s="35" t="str">
        <x:v>정의 변경</x:v>
      </x:c>
      <x:c r="H66" s="35" t="str">
        <x:v>확실</x:v>
      </x:c>
      <x:c r="I66" s="35" t="str">
        <x:v>CHAR | NULL</x:v>
      </x:c>
      <x:c r="J66" s="35" t="str">
        <x:v>CHAR(1) | NULL | DEFAULT 'Y'</x:v>
      </x:c>
      <x:c r="K66" s="35" t="str">
        <x:v>CHAR → CHAR(1); DEFAULT 없음 → 'Y'</x:v>
      </x:c>
      <x:c r="L66" s="35" t="str">
        <x:v>사용여부</x:v>
      </x:c>
      <x:c r="M66" s="35" t="str">
        <x:v>사용여부</x:v>
      </x:c>
      <x:c r="N66" s="35" t="str">
        <x:v>높음</x:v>
      </x:c>
      <x:c r="O66" s="35" t="str">
        <x:v>SYS_CD_GRP.USE_YN의 타입·NULL·기본값·키 정의에 맞춰 스키마와 검증 로직 수정</x:v>
      </x:c>
      <x:c r="P66" s="35" t="str">
        <x:v>미착수</x:v>
      </x:c>
      <x:c r="Q66" s="35" t="str"/>
      <x:c r="R66" s="35" t="str"/>
    </x:row>
    <x:row r="67">
      <x:c r="A67" s="35" t="n">
        <x:v>63</x:v>
      </x:c>
      <x:c r="B67" s="35" t="str">
        <x:v>SYS_CD_GRP</x:v>
      </x:c>
      <x:c r="C67" s="35" t="str">
        <x:v>SYS_CD_GRP</x:v>
      </x:c>
      <x:c r="D67" s="35" t="str">
        <x:v>테이블 유지</x:v>
      </x:c>
      <x:c r="E67" s="35" t="str">
        <x:v>COMMENT</x:v>
      </x:c>
      <x:c r="F67" s="35" t="str">
        <x:v>EXPLN</x:v>
      </x:c>
      <x:c r="G67" s="35" t="str">
        <x:v>이름변경</x:v>
      </x:c>
      <x:c r="H67" s="35" t="str">
        <x:v>높음</x:v>
      </x:c>
      <x:c r="I67" s="35" t="str">
        <x:v>VARCHAR(3000) | NULL</x:v>
      </x:c>
      <x:c r="J67" s="35" t="str">
        <x:v>VARCHAR(3000) | NULL</x:v>
      </x:c>
      <x:c r="K67" s="35" t="str">
        <x:v>COMMENT → EXPLN</x:v>
      </x:c>
      <x:c r="L67" s="35" t="str">
        <x:v>설명</x:v>
      </x:c>
      <x:c r="M67" s="35" t="str">
        <x:v>설명</x:v>
      </x:c>
      <x:c r="N67" s="35" t="str">
        <x:v>중간</x:v>
      </x:c>
      <x:c r="O67" s="35" t="str">
        <x:v>SYS_CD_GRP.COMMENT 참조를 SYS_CD_GRP.EXPLN로 변경하고 SQL alias/직렬화 명칭 점검</x:v>
      </x:c>
      <x:c r="P67" s="35" t="str">
        <x:v>미착수</x:v>
      </x:c>
      <x:c r="Q67" s="35" t="str"/>
      <x:c r="R67" s="35" t="str"/>
    </x:row>
    <x:row r="68">
      <x:c r="A68" s="35" t="n">
        <x:v>64</x:v>
      </x:c>
      <x:c r="B68" s="35" t="str">
        <x:v>SYS_CD_GRP</x:v>
      </x:c>
      <x:c r="C68" s="35" t="str">
        <x:v>SYS_CD_GRP</x:v>
      </x:c>
      <x:c r="D68" s="35" t="str">
        <x:v>테이블 유지</x:v>
      </x:c>
      <x:c r="E68" s="35" t="str"/>
      <x:c r="F68" s="35" t="str">
        <x:v>UP_GRP_ID</x:v>
      </x:c>
      <x:c r="G68" s="35" t="str">
        <x:v>컬럼 추가</x:v>
      </x:c>
      <x:c r="H68" s="35" t="str">
        <x:v>확실</x:v>
      </x:c>
      <x:c r="I68" s="35" t="str"/>
      <x:c r="J68" s="35" t="str">
        <x:v>VARCHAR(100) | NULL</x:v>
      </x:c>
      <x:c r="K68" s="35" t="str">
        <x:v>VARCHAR(100) | NULL</x:v>
      </x:c>
      <x:c r="L68" s="35" t="str"/>
      <x:c r="M68" s="35" t="str">
        <x:v>상위그룹ID</x:v>
      </x:c>
      <x:c r="N68" s="35" t="str">
        <x:v>중간</x:v>
      </x:c>
      <x:c r="O68" s="35" t="str">
        <x:v>SYS_CD_GRP.UP_GRP_ID 필드를 Entity/DTO/입력·조회 SQL에 반영하고 기존 데이터 채움 정책 확인</x:v>
      </x:c>
      <x:c r="P68" s="35" t="str">
        <x:v>미착수</x:v>
      </x:c>
      <x:c r="Q68" s="35" t="str"/>
      <x:c r="R68" s="35" t="str"/>
    </x:row>
    <x:row r="69">
      <x:c r="A69" s="35" t="n">
        <x:v>65</x:v>
      </x:c>
      <x:c r="B69" s="35" t="str">
        <x:v>SYS_CD</x:v>
      </x:c>
      <x:c r="C69" s="35" t="str">
        <x:v>SYS_CD</x:v>
      </x:c>
      <x:c r="D69" s="35" t="str">
        <x:v>테이블 유지</x:v>
      </x:c>
      <x:c r="E69" s="35" t="str">
        <x:v>CD_ID</x:v>
      </x:c>
      <x:c r="F69" s="35" t="str">
        <x:v>CD_ID</x:v>
      </x:c>
      <x:c r="G69" s="35" t="str">
        <x:v>유지</x:v>
      </x:c>
      <x:c r="H69" s="35" t="str">
        <x:v>확실</x:v>
      </x:c>
      <x:c r="I69" s="35" t="str">
        <x:v>VARCHAR(10) | NOT NULL | PK</x:v>
      </x:c>
      <x:c r="J69" s="35" t="str">
        <x:v>VARCHAR(10) | NOT NULL | PK</x:v>
      </x:c>
      <x:c r="K69" s="35" t="str">
        <x:v>동일</x:v>
      </x:c>
      <x:c r="L69" s="35" t="str">
        <x:v>하위코드</x:v>
      </x:c>
      <x:c r="M69" s="35" t="str">
        <x:v>코드ID</x:v>
      </x:c>
      <x:c r="N69" s="35" t="str">
        <x:v>낮음</x:v>
      </x:c>
      <x:c r="O69" s="35" t="str">
        <x:v>코드 변경 불필요. 회귀 테스트만 수행</x:v>
      </x:c>
      <x:c r="P69" s="35" t="str">
        <x:v>해당없음</x:v>
      </x:c>
      <x:c r="Q69" s="35" t="str"/>
      <x:c r="R69" s="35" t="str"/>
    </x:row>
    <x:row r="70">
      <x:c r="A70" s="35" t="n">
        <x:v>66</x:v>
      </x:c>
      <x:c r="B70" s="35" t="str">
        <x:v>SYS_CD</x:v>
      </x:c>
      <x:c r="C70" s="35" t="str">
        <x:v>SYS_CD</x:v>
      </x:c>
      <x:c r="D70" s="35" t="str">
        <x:v>테이블 유지</x:v>
      </x:c>
      <x:c r="E70" s="35" t="str">
        <x:v>GRP_ID</x:v>
      </x:c>
      <x:c r="F70" s="35" t="str">
        <x:v>GRP_ID</x:v>
      </x:c>
      <x:c r="G70" s="35" t="str">
        <x:v>유지</x:v>
      </x:c>
      <x:c r="H70" s="35" t="str">
        <x:v>확실</x:v>
      </x:c>
      <x:c r="I70" s="35" t="str">
        <x:v>VARCHAR(100) | NOT NULL | PK</x:v>
      </x:c>
      <x:c r="J70" s="35" t="str">
        <x:v>VARCHAR(100) | NOT NULL | PK</x:v>
      </x:c>
      <x:c r="K70" s="35" t="str">
        <x:v>동일</x:v>
      </x:c>
      <x:c r="L70" s="35" t="str">
        <x:v>상위코드(코드그룹)</x:v>
      </x:c>
      <x:c r="M70" s="35" t="str">
        <x:v>그룹아이디</x:v>
      </x:c>
      <x:c r="N70" s="35" t="str">
        <x:v>낮음</x:v>
      </x:c>
      <x:c r="O70" s="35" t="str">
        <x:v>코드 변경 불필요. 회귀 테스트만 수행</x:v>
      </x:c>
      <x:c r="P70" s="35" t="str">
        <x:v>해당없음</x:v>
      </x:c>
      <x:c r="Q70" s="35" t="str"/>
      <x:c r="R70" s="35" t="str"/>
    </x:row>
    <x:row r="71">
      <x:c r="A71" s="35" t="n">
        <x:v>67</x:v>
      </x:c>
      <x:c r="B71" s="35" t="str">
        <x:v>SYS_CD</x:v>
      </x:c>
      <x:c r="C71" s="35" t="str">
        <x:v>SYS_CD</x:v>
      </x:c>
      <x:c r="D71" s="35" t="str">
        <x:v>테이블 유지</x:v>
      </x:c>
      <x:c r="E71" s="35" t="str">
        <x:v>CD_NM</x:v>
      </x:c>
      <x:c r="F71" s="35" t="str">
        <x:v>CD_NM</x:v>
      </x:c>
      <x:c r="G71" s="35" t="str">
        <x:v>유지</x:v>
      </x:c>
      <x:c r="H71" s="35" t="str">
        <x:v>확실</x:v>
      </x:c>
      <x:c r="I71" s="35" t="str">
        <x:v>VARCHAR(200) | NULL</x:v>
      </x:c>
      <x:c r="J71" s="35" t="str">
        <x:v>VARCHAR(200) | NULL</x:v>
      </x:c>
      <x:c r="K71" s="35" t="str">
        <x:v>동일</x:v>
      </x:c>
      <x:c r="L71" s="35" t="str">
        <x:v>하위코드명</x:v>
      </x:c>
      <x:c r="M71" s="35" t="str">
        <x:v>코드명</x:v>
      </x:c>
      <x:c r="N71" s="35" t="str">
        <x:v>낮음</x:v>
      </x:c>
      <x:c r="O71" s="35" t="str">
        <x:v>코드 변경 불필요. 회귀 테스트만 수행</x:v>
      </x:c>
      <x:c r="P71" s="35" t="str">
        <x:v>해당없음</x:v>
      </x:c>
      <x:c r="Q71" s="35" t="str"/>
      <x:c r="R71" s="35" t="str"/>
    </x:row>
    <x:row r="72">
      <x:c r="A72" s="35" t="n">
        <x:v>68</x:v>
      </x:c>
      <x:c r="B72" s="35" t="str">
        <x:v>SYS_CD</x:v>
      </x:c>
      <x:c r="C72" s="35" t="str">
        <x:v>SYS_CD</x:v>
      </x:c>
      <x:c r="D72" s="35" t="str">
        <x:v>테이블 유지</x:v>
      </x:c>
      <x:c r="E72" s="35" t="str">
        <x:v>CD_NO</x:v>
      </x:c>
      <x:c r="F72" s="35" t="str">
        <x:v>CD_NO</x:v>
      </x:c>
      <x:c r="G72" s="35" t="str">
        <x:v>유지</x:v>
      </x:c>
      <x:c r="H72" s="35" t="str">
        <x:v>확실</x:v>
      </x:c>
      <x:c r="I72" s="35" t="str">
        <x:v>VARCHAR(4) | NULL</x:v>
      </x:c>
      <x:c r="J72" s="35" t="str">
        <x:v>VARCHAR(4) | NULL</x:v>
      </x:c>
      <x:c r="K72" s="35" t="str">
        <x:v>동일</x:v>
      </x:c>
      <x:c r="L72" s="35" t="str">
        <x:v>순서</x:v>
      </x:c>
      <x:c r="M72" s="35" t="str">
        <x:v>코드순서</x:v>
      </x:c>
      <x:c r="N72" s="35" t="str">
        <x:v>낮음</x:v>
      </x:c>
      <x:c r="O72" s="35" t="str">
        <x:v>코드 변경 불필요. 회귀 테스트만 수행</x:v>
      </x:c>
      <x:c r="P72" s="35" t="str">
        <x:v>해당없음</x:v>
      </x:c>
      <x:c r="Q72" s="35" t="str"/>
      <x:c r="R72" s="35" t="str"/>
    </x:row>
    <x:row r="73">
      <x:c r="A73" s="35" t="n">
        <x:v>69</x:v>
      </x:c>
      <x:c r="B73" s="35" t="str">
        <x:v>SYS_CD</x:v>
      </x:c>
      <x:c r="C73" s="35" t="str">
        <x:v>SYS_CD</x:v>
      </x:c>
      <x:c r="D73" s="35" t="str">
        <x:v>테이블 유지</x:v>
      </x:c>
      <x:c r="E73" s="35" t="str">
        <x:v>USE_YN</x:v>
      </x:c>
      <x:c r="F73" s="35" t="str">
        <x:v>USE_YN</x:v>
      </x:c>
      <x:c r="G73" s="35" t="str">
        <x:v>정의 변경</x:v>
      </x:c>
      <x:c r="H73" s="35" t="str">
        <x:v>확실</x:v>
      </x:c>
      <x:c r="I73" s="35" t="str">
        <x:v>CHAR | NULL</x:v>
      </x:c>
      <x:c r="J73" s="35" t="str">
        <x:v>CHAR(1) | NULL | DEFAULT 'Y'</x:v>
      </x:c>
      <x:c r="K73" s="35" t="str">
        <x:v>CHAR → CHAR(1); DEFAULT 없음 → 'Y'</x:v>
      </x:c>
      <x:c r="L73" s="35" t="str">
        <x:v>사용여부</x:v>
      </x:c>
      <x:c r="M73" s="35" t="str">
        <x:v>사용여부</x:v>
      </x:c>
      <x:c r="N73" s="35" t="str">
        <x:v>높음</x:v>
      </x:c>
      <x:c r="O73" s="35" t="str">
        <x:v>SYS_CD.USE_YN의 타입·NULL·기본값·키 정의에 맞춰 스키마와 검증 로직 수정</x:v>
      </x:c>
      <x:c r="P73" s="35" t="str">
        <x:v>미착수</x:v>
      </x:c>
      <x:c r="Q73" s="35" t="str"/>
      <x:c r="R73" s="35" t="str"/>
    </x:row>
    <x:row r="74">
      <x:c r="A74" s="35" t="n">
        <x:v>70</x:v>
      </x:c>
      <x:c r="B74" s="35" t="str">
        <x:v>SYS_CD</x:v>
      </x:c>
      <x:c r="C74" s="35" t="str">
        <x:v>SYS_CD</x:v>
      </x:c>
      <x:c r="D74" s="35" t="str">
        <x:v>테이블 유지</x:v>
      </x:c>
      <x:c r="E74" s="35" t="str">
        <x:v>SYS_CRT_DT</x:v>
      </x:c>
      <x:c r="F74" s="35" t="str">
        <x:v>SYS_GEN_DT</x:v>
      </x:c>
      <x:c r="G74" s="35" t="str">
        <x:v>이름변경</x:v>
      </x:c>
      <x:c r="H74" s="35" t="str">
        <x:v>높음</x:v>
      </x:c>
      <x:c r="I74" s="35" t="str">
        <x:v>DATETIME | NULL</x:v>
      </x:c>
      <x:c r="J74" s="35" t="str">
        <x:v>DATETIME | NULL</x:v>
      </x:c>
      <x:c r="K74" s="35" t="str">
        <x:v>SYS_CRT_DT → SYS_GEN_DT</x:v>
      </x:c>
      <x:c r="L74" s="35" t="str">
        <x:v>작성일자</x:v>
      </x:c>
      <x:c r="M74" s="35" t="str">
        <x:v>시스템생성일시</x:v>
      </x:c>
      <x:c r="N74" s="35" t="str">
        <x:v>중간</x:v>
      </x:c>
      <x:c r="O74" s="35" t="str">
        <x:v>SYS_CD.SYS_CRT_DT 참조를 SYS_CD.SYS_GEN_DT로 변경하고 SQL alias/직렬화 명칭 점검</x:v>
      </x:c>
      <x:c r="P74" s="35" t="str">
        <x:v>미착수</x:v>
      </x:c>
      <x:c r="Q74" s="35" t="str"/>
      <x:c r="R74" s="35" t="str"/>
    </x:row>
    <x:row r="75">
      <x:c r="A75" s="35" t="n">
        <x:v>71</x:v>
      </x:c>
      <x:c r="B75" s="35" t="str">
        <x:v>SYS_CD</x:v>
      </x:c>
      <x:c r="C75" s="35" t="str">
        <x:v>SYS_CD</x:v>
      </x:c>
      <x:c r="D75" s="35" t="str">
        <x:v>테이블 유지</x:v>
      </x:c>
      <x:c r="E75" s="35" t="str">
        <x:v>SYS_CRT_USR_ID</x:v>
      </x:c>
      <x:c r="F75" s="35" t="str">
        <x:v>SYS_CRT_USR_ID</x:v>
      </x:c>
      <x:c r="G75" s="35" t="str">
        <x:v>유지</x:v>
      </x:c>
      <x:c r="H75" s="35" t="str">
        <x:v>확실</x:v>
      </x:c>
      <x:c r="I75" s="35" t="str">
        <x:v>VARCHAR(32) | NULL</x:v>
      </x:c>
      <x:c r="J75" s="35" t="str">
        <x:v>VARCHAR(32) | NULL</x:v>
      </x:c>
      <x:c r="K75" s="35" t="str">
        <x:v>동일</x:v>
      </x:c>
      <x:c r="L75" s="35" t="str">
        <x:v>작성자ID</x:v>
      </x:c>
      <x:c r="M75" s="35" t="str">
        <x:v>시스템생성자ID</x:v>
      </x:c>
      <x:c r="N75" s="35" t="str">
        <x:v>낮음</x:v>
      </x:c>
      <x:c r="O75" s="35" t="str">
        <x:v>코드 변경 불필요. 회귀 테스트만 수행</x:v>
      </x:c>
      <x:c r="P75" s="35" t="str">
        <x:v>해당없음</x:v>
      </x:c>
      <x:c r="Q75" s="35" t="str"/>
      <x:c r="R75" s="35" t="str"/>
    </x:row>
    <x:row r="76">
      <x:c r="A76" s="35" t="n">
        <x:v>72</x:v>
      </x:c>
      <x:c r="B76" s="35" t="str">
        <x:v>SYS_CD</x:v>
      </x:c>
      <x:c r="C76" s="35" t="str">
        <x:v>SYS_CD</x:v>
      </x:c>
      <x:c r="D76" s="35" t="str">
        <x:v>테이블 유지</x:v>
      </x:c>
      <x:c r="E76" s="35" t="str">
        <x:v>SYS_UPD_DT</x:v>
      </x:c>
      <x:c r="F76" s="35" t="str">
        <x:v>SYS_MDFCN_DT</x:v>
      </x:c>
      <x:c r="G76" s="35" t="str">
        <x:v>이름변경</x:v>
      </x:c>
      <x:c r="H76" s="35" t="str">
        <x:v>높음</x:v>
      </x:c>
      <x:c r="I76" s="35" t="str">
        <x:v>DATETIME | NULL</x:v>
      </x:c>
      <x:c r="J76" s="35" t="str">
        <x:v>DATETIME | NULL</x:v>
      </x:c>
      <x:c r="K76" s="35" t="str">
        <x:v>SYS_UPD_DT → SYS_MDFCN_DT</x:v>
      </x:c>
      <x:c r="L76" s="35" t="str">
        <x:v>수정일자</x:v>
      </x:c>
      <x:c r="M76" s="35" t="str">
        <x:v>시스템수정일시</x:v>
      </x:c>
      <x:c r="N76" s="35" t="str">
        <x:v>중간</x:v>
      </x:c>
      <x:c r="O76" s="35" t="str">
        <x:v>SYS_CD.SYS_UPD_DT 참조를 SYS_CD.SYS_MDFCN_DT로 변경하고 SQL alias/직렬화 명칭 점검</x:v>
      </x:c>
      <x:c r="P76" s="35" t="str">
        <x:v>미착수</x:v>
      </x:c>
      <x:c r="Q76" s="35" t="str"/>
      <x:c r="R76" s="35" t="str"/>
    </x:row>
    <x:row r="77">
      <x:c r="A77" s="35" t="n">
        <x:v>73</x:v>
      </x:c>
      <x:c r="B77" s="35" t="str">
        <x:v>SYS_CD</x:v>
      </x:c>
      <x:c r="C77" s="35" t="str">
        <x:v>SYS_CD</x:v>
      </x:c>
      <x:c r="D77" s="35" t="str">
        <x:v>테이블 유지</x:v>
      </x:c>
      <x:c r="E77" s="35" t="str">
        <x:v>SYS_UPD_USR_ID</x:v>
      </x:c>
      <x:c r="F77" s="35" t="str">
        <x:v>TUN_APRV_YMD</x:v>
      </x:c>
      <x:c r="G77" s="35" t="str">
        <x:v>이름+정의 변경</x:v>
      </x:c>
      <x:c r="H77" s="35" t="str">
        <x:v>낮음</x:v>
      </x:c>
      <x:c r="I77" s="35" t="str">
        <x:v>VARCHAR(32) | NULL</x:v>
      </x:c>
      <x:c r="J77" s="35" t="str">
        <x:v>VARCHAR(20) | NULL</x:v>
      </x:c>
      <x:c r="K77" s="35" t="str">
        <x:v>VARCHAR(32) → VARCHAR(20)</x:v>
      </x:c>
      <x:c r="L77" s="35" t="str">
        <x:v>수정자ID</x:v>
      </x:c>
      <x:c r="M77" s="35" t="str">
        <x:v>시스템수정자ID</x:v>
      </x:c>
      <x:c r="N77" s="35" t="str">
        <x:v>낮음</x:v>
      </x:c>
      <x:c r="O77" s="35" t="str">
        <x:v>코드 변경 불필요. 회귀 테스트만 수행</x:v>
      </x:c>
      <x:c r="P77" s="35" t="str">
        <x:v>미착수</x:v>
      </x:c>
      <x:c r="Q77" s="35" t="str"/>
      <x:c r="R77" s="35" t="str">
        <x:v>업무 의미가 달라 보이므로 설계자 확인 필요</x:v>
      </x:c>
    </x:row>
    <x:row r="78">
      <x:c r="A78" s="35" t="n">
        <x:v>74</x:v>
      </x:c>
      <x:c r="B78" s="35" t="str">
        <x:v>SYS_CD</x:v>
      </x:c>
      <x:c r="C78" s="35" t="str">
        <x:v>SYS_CD</x:v>
      </x:c>
      <x:c r="D78" s="35" t="str">
        <x:v>테이블 유지</x:v>
      </x:c>
      <x:c r="E78" s="35" t="str"/>
      <x:c r="F78" s="35" t="str">
        <x:v>UP_CD_ID</x:v>
      </x:c>
      <x:c r="G78" s="35" t="str">
        <x:v>컬럼 추가</x:v>
      </x:c>
      <x:c r="H78" s="35" t="str">
        <x:v>확실</x:v>
      </x:c>
      <x:c r="I78" s="35" t="str"/>
      <x:c r="J78" s="35" t="str">
        <x:v>VARCHAR(10) | NULL</x:v>
      </x:c>
      <x:c r="K78" s="35" t="str">
        <x:v>VARCHAR(10) | NULL</x:v>
      </x:c>
      <x:c r="L78" s="35" t="str"/>
      <x:c r="M78" s="35" t="str">
        <x:v>상위코드ID</x:v>
      </x:c>
      <x:c r="N78" s="35" t="str">
        <x:v>중간</x:v>
      </x:c>
      <x:c r="O78" s="35" t="str">
        <x:v>SYS_CD.UP_CD_ID 필드를 Entity/DTO/입력·조회 SQL에 반영하고 기존 데이터 채움 정책 확인</x:v>
      </x:c>
      <x:c r="P78" s="35" t="str">
        <x:v>미착수</x:v>
      </x:c>
      <x:c r="Q78" s="35" t="str"/>
      <x:c r="R78" s="35" t="str"/>
    </x:row>
    <x:row r="79">
      <x:c r="A79" s="35" t="n">
        <x:v>75</x:v>
      </x:c>
      <x:c r="B79" s="35" t="str">
        <x:v>SYS_DEPT_GRP</x:v>
      </x:c>
      <x:c r="C79" s="35" t="str">
        <x:v>SYS_DEPT_GRP</x:v>
      </x:c>
      <x:c r="D79" s="35" t="str">
        <x:v>테이블 유지</x:v>
      </x:c>
      <x:c r="E79" s="35" t="str">
        <x:v>GRP_ID</x:v>
      </x:c>
      <x:c r="F79" s="35" t="str">
        <x:v>GRP_ID</x:v>
      </x:c>
      <x:c r="G79" s="35" t="str">
        <x:v>유지</x:v>
      </x:c>
      <x:c r="H79" s="35" t="str">
        <x:v>확실</x:v>
      </x:c>
      <x:c r="I79" s="35" t="str">
        <x:v>VARCHAR(32) | NOT NULL | PK</x:v>
      </x:c>
      <x:c r="J79" s="35" t="str">
        <x:v>VARCHAR(32) | NOT NULL | PK</x:v>
      </x:c>
      <x:c r="K79" s="35" t="str">
        <x:v>동일</x:v>
      </x:c>
      <x:c r="L79" s="35" t="str">
        <x:v>그룹아이디</x:v>
      </x:c>
      <x:c r="M79" s="35" t="str">
        <x:v>그룹아이디</x:v>
      </x:c>
      <x:c r="N79" s="35" t="str">
        <x:v>낮음</x:v>
      </x:c>
      <x:c r="O79" s="35" t="str">
        <x:v>코드 변경 불필요. 회귀 테스트만 수행</x:v>
      </x:c>
      <x:c r="P79" s="35" t="str">
        <x:v>해당없음</x:v>
      </x:c>
      <x:c r="Q79" s="35" t="str"/>
      <x:c r="R79" s="35" t="str"/>
    </x:row>
    <x:row r="80">
      <x:c r="A80" s="35" t="n">
        <x:v>76</x:v>
      </x:c>
      <x:c r="B80" s="35" t="str">
        <x:v>SYS_DEPT_GRP</x:v>
      </x:c>
      <x:c r="C80" s="35" t="str">
        <x:v>SYS_DEPT_GRP</x:v>
      </x:c>
      <x:c r="D80" s="35" t="str">
        <x:v>테이블 유지</x:v>
      </x:c>
      <x:c r="E80" s="35" t="str">
        <x:v>GRP_NM</x:v>
      </x:c>
      <x:c r="F80" s="35" t="str">
        <x:v>GRP_NM</x:v>
      </x:c>
      <x:c r="G80" s="35" t="str">
        <x:v>유지</x:v>
      </x:c>
      <x:c r="H80" s="35" t="str">
        <x:v>확실</x:v>
      </x:c>
      <x:c r="I80" s="35" t="str">
        <x:v>VARCHAR(100) | NOT NULL</x:v>
      </x:c>
      <x:c r="J80" s="35" t="str">
        <x:v>VARCHAR(100) | NOT NULL</x:v>
      </x:c>
      <x:c r="K80" s="35" t="str">
        <x:v>동일</x:v>
      </x:c>
      <x:c r="L80" s="35" t="str">
        <x:v>그룹이름</x:v>
      </x:c>
      <x:c r="M80" s="35" t="str">
        <x:v>그룹이름</x:v>
      </x:c>
      <x:c r="N80" s="35" t="str">
        <x:v>낮음</x:v>
      </x:c>
      <x:c r="O80" s="35" t="str">
        <x:v>코드 변경 불필요. 회귀 테스트만 수행</x:v>
      </x:c>
      <x:c r="P80" s="35" t="str">
        <x:v>해당없음</x:v>
      </x:c>
      <x:c r="Q80" s="35" t="str"/>
      <x:c r="R80" s="35" t="str"/>
    </x:row>
    <x:row r="81">
      <x:c r="A81" s="35" t="n">
        <x:v>77</x:v>
      </x:c>
      <x:c r="B81" s="35" t="str">
        <x:v>SYS_DEPT_GRP</x:v>
      </x:c>
      <x:c r="C81" s="35" t="str">
        <x:v>SYS_DEPT_GRP</x:v>
      </x:c>
      <x:c r="D81" s="35" t="str">
        <x:v>테이블 유지</x:v>
      </x:c>
      <x:c r="E81" s="35" t="str">
        <x:v>GRP_LVL</x:v>
      </x:c>
      <x:c r="F81" s="35" t="str">
        <x:v>GRP_LVL</x:v>
      </x:c>
      <x:c r="G81" s="35" t="str">
        <x:v>유지</x:v>
      </x:c>
      <x:c r="H81" s="35" t="str">
        <x:v>확실</x:v>
      </x:c>
      <x:c r="I81" s="35" t="str">
        <x:v>VARCHAR(1) | NOT NULL</x:v>
      </x:c>
      <x:c r="J81" s="35" t="str">
        <x:v>VARCHAR(1) | NOT NULL</x:v>
      </x:c>
      <x:c r="K81" s="35" t="str">
        <x:v>동일</x:v>
      </x:c>
      <x:c r="L81" s="35" t="str">
        <x:v>그룹레벨</x:v>
      </x:c>
      <x:c r="M81" s="35" t="str">
        <x:v>그룹레벨</x:v>
      </x:c>
      <x:c r="N81" s="35" t="str">
        <x:v>낮음</x:v>
      </x:c>
      <x:c r="O81" s="35" t="str">
        <x:v>코드 변경 불필요. 회귀 테스트만 수행</x:v>
      </x:c>
      <x:c r="P81" s="35" t="str">
        <x:v>해당없음</x:v>
      </x:c>
      <x:c r="Q81" s="35" t="str"/>
      <x:c r="R81" s="35" t="str"/>
    </x:row>
    <x:row r="82">
      <x:c r="A82" s="35" t="n">
        <x:v>78</x:v>
      </x:c>
      <x:c r="B82" s="35" t="str">
        <x:v>SYS_DEPT_GRP</x:v>
      </x:c>
      <x:c r="C82" s="35" t="str">
        <x:v>SYS_DEPT_GRP</x:v>
      </x:c>
      <x:c r="D82" s="35" t="str">
        <x:v>테이블 유지</x:v>
      </x:c>
      <x:c r="E82" s="35" t="str">
        <x:v>TOP_GRP_ID</x:v>
      </x:c>
      <x:c r="F82" s="35" t="str">
        <x:v>UP_GRP_ID</x:v>
      </x:c>
      <x:c r="G82" s="35" t="str">
        <x:v>이름변경</x:v>
      </x:c>
      <x:c r="H82" s="35" t="str">
        <x:v>높음</x:v>
      </x:c>
      <x:c r="I82" s="35" t="str">
        <x:v>VARCHAR(32) | NULL</x:v>
      </x:c>
      <x:c r="J82" s="35" t="str">
        <x:v>VARCHAR(32) | NULL</x:v>
      </x:c>
      <x:c r="K82" s="35" t="str">
        <x:v>TOP_GRP_ID → UP_GRP_ID</x:v>
      </x:c>
      <x:c r="L82" s="35" t="str">
        <x:v>상위 그룹아이디</x:v>
      </x:c>
      <x:c r="M82" s="35" t="str">
        <x:v>상위그룹ID</x:v>
      </x:c>
      <x:c r="N82" s="35" t="str">
        <x:v>중간</x:v>
      </x:c>
      <x:c r="O82" s="35" t="str">
        <x:v>SYS_DEPT_GRP.TOP_GRP_ID 참조를 SYS_DEPT_GRP.UP_GRP_ID로 변경하고 SQL alias/직렬화 명칭 점검</x:v>
      </x:c>
      <x:c r="P82" s="35" t="str">
        <x:v>미착수</x:v>
      </x:c>
      <x:c r="Q82" s="35" t="str"/>
      <x:c r="R82" s="35" t="str"/>
    </x:row>
    <x:row r="83">
      <x:c r="A83" s="35" t="n">
        <x:v>79</x:v>
      </x:c>
      <x:c r="B83" s="35" t="str">
        <x:v>SYS_DEPT_GRP</x:v>
      </x:c>
      <x:c r="C83" s="35" t="str">
        <x:v>SYS_DEPT_GRP</x:v>
      </x:c>
      <x:c r="D83" s="35" t="str">
        <x:v>테이블 유지</x:v>
      </x:c>
      <x:c r="E83" s="35" t="str">
        <x:v>USE_YN</x:v>
      </x:c>
      <x:c r="F83" s="35" t="str">
        <x:v>USE_YN</x:v>
      </x:c>
      <x:c r="G83" s="35" t="str">
        <x:v>유지</x:v>
      </x:c>
      <x:c r="H83" s="35" t="str">
        <x:v>확실</x:v>
      </x:c>
      <x:c r="I83" s="35" t="str">
        <x:v>CHAR | NULL</x:v>
      </x:c>
      <x:c r="J83" s="35" t="str">
        <x:v>CHAR | NULL</x:v>
      </x:c>
      <x:c r="K83" s="35" t="str">
        <x:v>동일</x:v>
      </x:c>
      <x:c r="L83" s="35" t="str">
        <x:v>사용여부</x:v>
      </x:c>
      <x:c r="M83" s="35" t="str">
        <x:v>사용여부</x:v>
      </x:c>
      <x:c r="N83" s="35" t="str">
        <x:v>낮음</x:v>
      </x:c>
      <x:c r="O83" s="35" t="str">
        <x:v>코드 변경 불필요. 회귀 테스트만 수행</x:v>
      </x:c>
      <x:c r="P83" s="35" t="str">
        <x:v>해당없음</x:v>
      </x:c>
      <x:c r="Q83" s="35" t="str"/>
      <x:c r="R83" s="35" t="str"/>
    </x:row>
    <x:row r="84">
      <x:c r="A84" s="35" t="n">
        <x:v>80</x:v>
      </x:c>
      <x:c r="B84" s="35" t="str">
        <x:v>SYS_DEPT_GRP</x:v>
      </x:c>
      <x:c r="C84" s="35" t="str">
        <x:v>SYS_DEPT_GRP</x:v>
      </x:c>
      <x:c r="D84" s="35" t="str">
        <x:v>테이블 유지</x:v>
      </x:c>
      <x:c r="E84" s="35" t="str">
        <x:v>SYS_CRT_DT</x:v>
      </x:c>
      <x:c r="F84" s="35" t="str">
        <x:v>SYS_GEN_DT</x:v>
      </x:c>
      <x:c r="G84" s="35" t="str">
        <x:v>이름변경</x:v>
      </x:c>
      <x:c r="H84" s="35" t="str">
        <x:v>높음</x:v>
      </x:c>
      <x:c r="I84" s="35" t="str">
        <x:v>DATETIME | NOT NULL</x:v>
      </x:c>
      <x:c r="J84" s="35" t="str">
        <x:v>DATETIME | NOT NULL</x:v>
      </x:c>
      <x:c r="K84" s="35" t="str">
        <x:v>SYS_CRT_DT → SYS_GEN_DT</x:v>
      </x:c>
      <x:c r="L84" s="35" t="str">
        <x:v>작성일자</x:v>
      </x:c>
      <x:c r="M84" s="35" t="str">
        <x:v>시스템생성일시</x:v>
      </x:c>
      <x:c r="N84" s="35" t="str">
        <x:v>중간</x:v>
      </x:c>
      <x:c r="O84" s="35" t="str">
        <x:v>SYS_DEPT_GRP.SYS_CRT_DT 참조를 SYS_DEPT_GRP.SYS_GEN_DT로 변경하고 SQL alias/직렬화 명칭 점검</x:v>
      </x:c>
      <x:c r="P84" s="35" t="str">
        <x:v>미착수</x:v>
      </x:c>
      <x:c r="Q84" s="35" t="str"/>
      <x:c r="R84" s="35" t="str"/>
    </x:row>
    <x:row r="85">
      <x:c r="A85" s="35" t="n">
        <x:v>81</x:v>
      </x:c>
      <x:c r="B85" s="35" t="str">
        <x:v>SYS_DEPT_GRP</x:v>
      </x:c>
      <x:c r="C85" s="35" t="str">
        <x:v>SYS_DEPT_GRP</x:v>
      </x:c>
      <x:c r="D85" s="35" t="str">
        <x:v>테이블 유지</x:v>
      </x:c>
      <x:c r="E85" s="35" t="str">
        <x:v>SYS_CRT_USR_ID</x:v>
      </x:c>
      <x:c r="F85" s="35" t="str">
        <x:v>SYS_GEN_ID</x:v>
      </x:c>
      <x:c r="G85" s="35" t="str">
        <x:v>이름변경</x:v>
      </x:c>
      <x:c r="H85" s="35" t="str">
        <x:v>높음</x:v>
      </x:c>
      <x:c r="I85" s="35" t="str">
        <x:v>VARCHAR(32) | NOT NULL</x:v>
      </x:c>
      <x:c r="J85" s="35" t="str">
        <x:v>VARCHAR(32) | NOT NULL</x:v>
      </x:c>
      <x:c r="K85" s="35" t="str">
        <x:v>SYS_CRT_USR_ID → SYS_GEN_ID</x:v>
      </x:c>
      <x:c r="L85" s="35" t="str">
        <x:v>작성자ID</x:v>
      </x:c>
      <x:c r="M85" s="35" t="str">
        <x:v>시스템생성자ID</x:v>
      </x:c>
      <x:c r="N85" s="35" t="str">
        <x:v>중간</x:v>
      </x:c>
      <x:c r="O85" s="35" t="str">
        <x:v>SYS_DEPT_GRP.SYS_CRT_USR_ID 참조를 SYS_DEPT_GRP.SYS_GEN_ID로 변경하고 SQL alias/직렬화 명칭 점검</x:v>
      </x:c>
      <x:c r="P85" s="35" t="str">
        <x:v>미착수</x:v>
      </x:c>
      <x:c r="Q85" s="35" t="str"/>
      <x:c r="R85" s="35" t="str"/>
    </x:row>
    <x:row r="86">
      <x:c r="A86" s="35" t="n">
        <x:v>82</x:v>
      </x:c>
      <x:c r="B86" s="35" t="str">
        <x:v>SYS_DEPT_GRP</x:v>
      </x:c>
      <x:c r="C86" s="35" t="str">
        <x:v>SYS_DEPT_GRP</x:v>
      </x:c>
      <x:c r="D86" s="35" t="str">
        <x:v>테이블 유지</x:v>
      </x:c>
      <x:c r="E86" s="35" t="str">
        <x:v>SYS_UPD_DT</x:v>
      </x:c>
      <x:c r="F86" s="35" t="str">
        <x:v>SYS_MDFCN_DT</x:v>
      </x:c>
      <x:c r="G86" s="35" t="str">
        <x:v>이름+정의 변경</x:v>
      </x:c>
      <x:c r="H86" s="35" t="str">
        <x:v>높음</x:v>
      </x:c>
      <x:c r="I86" s="35" t="str">
        <x:v>DATETIME | NULL</x:v>
      </x:c>
      <x:c r="J86" s="35" t="str">
        <x:v>DATETIME | NOT NULL</x:v>
      </x:c>
      <x:c r="K86" s="35" t="str">
        <x:v>NULL → NOT NULL</x:v>
      </x:c>
      <x:c r="L86" s="35" t="str">
        <x:v>수정일자</x:v>
      </x:c>
      <x:c r="M86" s="35" t="str">
        <x:v>시스템수정일시</x:v>
      </x:c>
      <x:c r="N86" s="35" t="str">
        <x:v>낮음</x:v>
      </x:c>
      <x:c r="O86" s="35" t="str">
        <x:v>코드 변경 불필요. 회귀 테스트만 수행</x:v>
      </x:c>
      <x:c r="P86" s="35" t="str">
        <x:v>미착수</x:v>
      </x:c>
      <x:c r="Q86" s="35" t="str"/>
      <x:c r="R86" s="35" t="str"/>
    </x:row>
    <x:row r="87">
      <x:c r="A87" s="35" t="n">
        <x:v>83</x:v>
      </x:c>
      <x:c r="B87" s="35" t="str">
        <x:v>SYS_DEPT_GRP</x:v>
      </x:c>
      <x:c r="C87" s="35" t="str">
        <x:v>SYS_DEPT_GRP</x:v>
      </x:c>
      <x:c r="D87" s="35" t="str">
        <x:v>테이블 유지</x:v>
      </x:c>
      <x:c r="E87" s="35" t="str">
        <x:v>SYS_UPD_USR_ID</x:v>
      </x:c>
      <x:c r="F87" s="35" t="str">
        <x:v>SYS_MDFR_ID</x:v>
      </x:c>
      <x:c r="G87" s="35" t="str">
        <x:v>이름+정의 변경</x:v>
      </x:c>
      <x:c r="H87" s="35" t="str">
        <x:v>높음</x:v>
      </x:c>
      <x:c r="I87" s="35" t="str">
        <x:v>VARCHAR(32) | NULL</x:v>
      </x:c>
      <x:c r="J87" s="35" t="str">
        <x:v>VARCHAR(20) | NOT NULL</x:v>
      </x:c>
      <x:c r="K87" s="35" t="str">
        <x:v>VARCHAR(32) → VARCHAR(20); NULL → NOT NULL</x:v>
      </x:c>
      <x:c r="L87" s="35" t="str">
        <x:v>수정자ID</x:v>
      </x:c>
      <x:c r="M87" s="35" t="str">
        <x:v>시스템수정자ID</x:v>
      </x:c>
      <x:c r="N87" s="35" t="str">
        <x:v>낮음</x:v>
      </x:c>
      <x:c r="O87" s="35" t="str">
        <x:v>코드 변경 불필요. 회귀 테스트만 수행</x:v>
      </x:c>
      <x:c r="P87" s="35" t="str">
        <x:v>미착수</x:v>
      </x:c>
      <x:c r="Q87" s="35" t="str"/>
      <x:c r="R87" s="35" t="str"/>
    </x:row>
    <x:row r="88">
      <x:c r="A88" s="35" t="n">
        <x:v>84</x:v>
      </x:c>
      <x:c r="B88" s="35" t="str">
        <x:v>SYS_EVT_LOG</x:v>
      </x:c>
      <x:c r="C88" s="35" t="str">
        <x:v>SYS_ADT_LOG</x:v>
      </x:c>
      <x:c r="D88" s="35" t="str">
        <x:v>테이블명 변경/대체</x:v>
      </x:c>
      <x:c r="E88" s="35" t="str">
        <x:v>ID</x:v>
      </x:c>
      <x:c r="F88" s="35" t="str">
        <x:v>ID</x:v>
      </x:c>
      <x:c r="G88" s="35" t="str">
        <x:v>유지</x:v>
      </x:c>
      <x:c r="H88" s="35" t="str">
        <x:v>확실</x:v>
      </x:c>
      <x:c r="I88" s="35" t="str">
        <x:v>VARCHAR(50) | NOT NULL | PK</x:v>
      </x:c>
      <x:c r="J88" s="35" t="str">
        <x:v>VARCHAR(50) | NOT NULL | PK</x:v>
      </x:c>
      <x:c r="K88" s="35" t="str">
        <x:v>동일</x:v>
      </x:c>
      <x:c r="L88" s="35" t="str">
        <x:v>로그 고유 ID</x:v>
      </x:c>
      <x:c r="M88" s="35" t="str">
        <x:v>ID</x:v>
      </x:c>
      <x:c r="N88" s="35" t="str">
        <x:v>중간</x:v>
      </x:c>
      <x:c r="O88" s="35" t="str">
        <x:v>코드 변경 불필요. 회귀 테스트만 수행; 테이블 참조 SYS_EVT_LOG → SYS_ADT_LOG 변경</x:v>
      </x:c>
      <x:c r="P88" s="35" t="str">
        <x:v>해당없음</x:v>
      </x:c>
      <x:c r="Q88" s="35" t="str"/>
      <x:c r="R88" s="35" t="str"/>
    </x:row>
    <x:row r="89">
      <x:c r="A89" s="35" t="n">
        <x:v>85</x:v>
      </x:c>
      <x:c r="B89" s="35" t="str">
        <x:v>SYS_EVT_LOG</x:v>
      </x:c>
      <x:c r="C89" s="35" t="str">
        <x:v>SYS_ADT_LOG</x:v>
      </x:c>
      <x:c r="D89" s="35" t="str">
        <x:v>테이블명 변경/대체</x:v>
      </x:c>
      <x:c r="E89" s="35" t="str">
        <x:v>USER_ID</x:v>
      </x:c>
      <x:c r="F89" s="35" t="str">
        <x:v>USER_ID</x:v>
      </x:c>
      <x:c r="G89" s="35" t="str">
        <x:v>유지</x:v>
      </x:c>
      <x:c r="H89" s="35" t="str">
        <x:v>확실</x:v>
      </x:c>
      <x:c r="I89" s="35" t="str">
        <x:v>VARCHAR(50) | NOT NULL</x:v>
      </x:c>
      <x:c r="J89" s="35" t="str">
        <x:v>VARCHAR(50) | NOT NULL</x:v>
      </x:c>
      <x:c r="K89" s="35" t="str">
        <x:v>동일</x:v>
      </x:c>
      <x:c r="L89" s="35" t="str">
        <x:v>행위 수행자 ID</x:v>
      </x:c>
      <x:c r="M89" s="35" t="str">
        <x:v>사용자ID</x:v>
      </x:c>
      <x:c r="N89" s="35" t="str">
        <x:v>중간</x:v>
      </x:c>
      <x:c r="O89" s="35" t="str">
        <x:v>코드 변경 불필요. 회귀 테스트만 수행; 테이블 참조 SYS_EVT_LOG → SYS_ADT_LOG 변경</x:v>
      </x:c>
      <x:c r="P89" s="35" t="str">
        <x:v>해당없음</x:v>
      </x:c>
      <x:c r="Q89" s="35" t="str"/>
      <x:c r="R89" s="35" t="str"/>
    </x:row>
    <x:row r="90">
      <x:c r="A90" s="35" t="n">
        <x:v>86</x:v>
      </x:c>
      <x:c r="B90" s="35" t="str">
        <x:v>SYS_EVT_LOG</x:v>
      </x:c>
      <x:c r="C90" s="35" t="str">
        <x:v>SYS_ADT_LOG</x:v>
      </x:c>
      <x:c r="D90" s="35" t="str">
        <x:v>테이블명 변경/대체</x:v>
      </x:c>
      <x:c r="E90" s="35" t="str">
        <x:v>EMAIL</x:v>
      </x:c>
      <x:c r="F90" s="35" t="str">
        <x:v>UP_GRP_ID</x:v>
      </x:c>
      <x:c r="G90" s="35" t="str">
        <x:v>이름변경</x:v>
      </x:c>
      <x:c r="H90" s="35" t="str">
        <x:v>낮음</x:v>
      </x:c>
      <x:c r="I90" s="35" t="str">
        <x:v>VARCHAR(50) | NOT NULL</x:v>
      </x:c>
      <x:c r="J90" s="35" t="str">
        <x:v>VARCHAR(50) | NOT NULL</x:v>
      </x:c>
      <x:c r="K90" s="35" t="str">
        <x:v>EMAIL → UP_GRP_ID</x:v>
      </x:c>
      <x:c r="L90" s="35" t="str">
        <x:v>행위 수행자 email</x:v>
      </x:c>
      <x:c r="M90" s="35" t="str">
        <x:v>상위그룹ID</x:v>
      </x:c>
      <x:c r="N90" s="35" t="str">
        <x:v>높음</x:v>
      </x:c>
      <x:c r="O90" s="35" t="str">
        <x:v>SYS_EVT_LOG.EMAIL 참조를 SYS_ADT_LOG.UP_GRP_ID로 변경하고 SQL alias/직렬화 명칭 점검; 테이블 참조 SYS_EVT_LOG → SYS_ADT_LOG 변경</x:v>
      </x:c>
      <x:c r="P90" s="35" t="str">
        <x:v>미착수</x:v>
      </x:c>
      <x:c r="Q90" s="35" t="str"/>
      <x:c r="R90" s="35" t="str">
        <x:v>업무 의미가 달라 보이므로 설계자 확인 필요</x:v>
      </x:c>
    </x:row>
    <x:row r="91">
      <x:c r="A91" s="35" t="n">
        <x:v>87</x:v>
      </x:c>
      <x:c r="B91" s="35" t="str">
        <x:v>SYS_EVT_LOG</x:v>
      </x:c>
      <x:c r="C91" s="35" t="str">
        <x:v>SYS_ADT_LOG</x:v>
      </x:c>
      <x:c r="D91" s="35" t="str">
        <x:v>테이블명 변경/대체</x:v>
      </x:c>
      <x:c r="E91" s="35" t="str">
        <x:v>ROLE</x:v>
      </x:c>
      <x:c r="F91" s="35" t="str">
        <x:v>ROLE</x:v>
      </x:c>
      <x:c r="G91" s="35" t="str">
        <x:v>유지</x:v>
      </x:c>
      <x:c r="H91" s="35" t="str">
        <x:v>확실</x:v>
      </x:c>
      <x:c r="I91" s="35" t="str">
        <x:v>VARCHAR(20) | NOT NULL</x:v>
      </x:c>
      <x:c r="J91" s="35" t="str">
        <x:v>VARCHAR(20) | NOT NULL</x:v>
      </x:c>
      <x:c r="K91" s="35" t="str">
        <x:v>동일</x:v>
      </x:c>
      <x:c r="L91" s="35" t="str">
        <x:v>수행 당시 권한 (ADMIN, MANAGER, USER)</x:v>
      </x:c>
      <x:c r="M91" s="35" t="str">
        <x:v>권한</x:v>
      </x:c>
      <x:c r="N91" s="35" t="str">
        <x:v>중간</x:v>
      </x:c>
      <x:c r="O91" s="35" t="str">
        <x:v>코드 변경 불필요. 회귀 테스트만 수행; 테이블 참조 SYS_EVT_LOG → SYS_ADT_LOG 변경</x:v>
      </x:c>
      <x:c r="P91" s="35" t="str">
        <x:v>해당없음</x:v>
      </x:c>
      <x:c r="Q91" s="35" t="str"/>
      <x:c r="R91" s="35" t="str"/>
    </x:row>
    <x:row r="92">
      <x:c r="A92" s="35" t="n">
        <x:v>88</x:v>
      </x:c>
      <x:c r="B92" s="35" t="str">
        <x:v>SYS_EVT_LOG</x:v>
      </x:c>
      <x:c r="C92" s="35" t="str">
        <x:v>SYS_ADT_LOG</x:v>
      </x:c>
      <x:c r="D92" s="35" t="str">
        <x:v>테이블명 변경/대체</x:v>
      </x:c>
      <x:c r="E92" s="35" t="str">
        <x:v>ACT_TYPE</x:v>
      </x:c>
      <x:c r="F92" s="35" t="str">
        <x:v>ACT_TYPE</x:v>
      </x:c>
      <x:c r="G92" s="35" t="str">
        <x:v>유지</x:v>
      </x:c>
      <x:c r="H92" s="35" t="str">
        <x:v>확실</x:v>
      </x:c>
      <x:c r="I92" s="35" t="str">
        <x:v>VARCHAR(20) | NOT NULL</x:v>
      </x:c>
      <x:c r="J92" s="35" t="str">
        <x:v>VARCHAR(20) | NOT NULL</x:v>
      </x:c>
      <x:c r="K92" s="35" t="str">
        <x:v>동일</x:v>
      </x:c>
      <x:c r="L92" s="35" t="str">
        <x:v>작업 유형</x:v>
      </x:c>
      <x:c r="M92" s="35" t="str">
        <x:v>작업유형</x:v>
      </x:c>
      <x:c r="N92" s="35" t="str">
        <x:v>중간</x:v>
      </x:c>
      <x:c r="O92" s="35" t="str">
        <x:v>코드 변경 불필요. 회귀 테스트만 수행; 테이블 참조 SYS_EVT_LOG → SYS_ADT_LOG 변경</x:v>
      </x:c>
      <x:c r="P92" s="35" t="str">
        <x:v>해당없음</x:v>
      </x:c>
      <x:c r="Q92" s="35" t="str"/>
      <x:c r="R92" s="35" t="str"/>
    </x:row>
    <x:row r="93">
      <x:c r="A93" s="35" t="n">
        <x:v>89</x:v>
      </x:c>
      <x:c r="B93" s="35" t="str">
        <x:v>SYS_EVT_LOG</x:v>
      </x:c>
      <x:c r="C93" s="35" t="str">
        <x:v>SYS_ADT_LOG</x:v>
      </x:c>
      <x:c r="D93" s="35" t="str">
        <x:v>테이블명 변경/대체</x:v>
      </x:c>
      <x:c r="E93" s="35" t="str">
        <x:v>TGT_TBL</x:v>
      </x:c>
      <x:c r="F93" s="35" t="str">
        <x:v>TRGT_TBL_NM</x:v>
      </x:c>
      <x:c r="G93" s="35" t="str">
        <x:v>이름변경</x:v>
      </x:c>
      <x:c r="H93" s="35" t="str">
        <x:v>높음</x:v>
      </x:c>
      <x:c r="I93" s="35" t="str">
        <x:v>VARCHAR(50) | NOT NULL</x:v>
      </x:c>
      <x:c r="J93" s="35" t="str">
        <x:v>VARCHAR(50) | NOT NULL</x:v>
      </x:c>
      <x:c r="K93" s="35" t="str">
        <x:v>TGT_TBL → TRGT_TBL_NM</x:v>
      </x:c>
      <x:c r="L93" s="35" t="str">
        <x:v>대상 테이블명</x:v>
      </x:c>
      <x:c r="M93" s="35" t="str">
        <x:v>대상테이블명</x:v>
      </x:c>
      <x:c r="N93" s="35" t="str">
        <x:v>중간</x:v>
      </x:c>
      <x:c r="O93" s="35" t="str">
        <x:v>SYS_EVT_LOG.TGT_TBL 참조를 SYS_ADT_LOG.TRGT_TBL_NM로 변경하고 SQL alias/직렬화 명칭 점검; 테이블 참조 SYS_EVT_LOG → SYS_ADT_LOG 변경</x:v>
      </x:c>
      <x:c r="P93" s="35" t="str">
        <x:v>미착수</x:v>
      </x:c>
      <x:c r="Q93" s="35" t="str"/>
      <x:c r="R93" s="35" t="str"/>
    </x:row>
    <x:row r="94">
      <x:c r="A94" s="35" t="n">
        <x:v>90</x:v>
      </x:c>
      <x:c r="B94" s="35" t="str">
        <x:v>SYS_EVT_LOG</x:v>
      </x:c>
      <x:c r="C94" s="35" t="str">
        <x:v>SYS_ADT_LOG</x:v>
      </x:c>
      <x:c r="D94" s="35" t="str">
        <x:v>테이블명 변경/대체</x:v>
      </x:c>
      <x:c r="E94" s="35" t="str">
        <x:v>TGT_ID</x:v>
      </x:c>
      <x:c r="F94" s="35" t="str">
        <x:v>TRGT_ID</x:v>
      </x:c>
      <x:c r="G94" s="35" t="str">
        <x:v>이름변경</x:v>
      </x:c>
      <x:c r="H94" s="35" t="str">
        <x:v>높음</x:v>
      </x:c>
      <x:c r="I94" s="35" t="str">
        <x:v>VARCHAR(100) | NULL</x:v>
      </x:c>
      <x:c r="J94" s="35" t="str">
        <x:v>VARCHAR(100) | NULL</x:v>
      </x:c>
      <x:c r="K94" s="35" t="str">
        <x:v>TGT_ID → TRGT_ID</x:v>
      </x:c>
      <x:c r="L94" s="35" t="str">
        <x:v>대상 데이터의 PK</x:v>
      </x:c>
      <x:c r="M94" s="35" t="str">
        <x:v>대상ID</x:v>
      </x:c>
      <x:c r="N94" s="35" t="str">
        <x:v>중간</x:v>
      </x:c>
      <x:c r="O94" s="35" t="str">
        <x:v>SYS_EVT_LOG.TGT_ID 참조를 SYS_ADT_LOG.TRGT_ID로 변경하고 SQL alias/직렬화 명칭 점검; 테이블 참조 SYS_EVT_LOG → SYS_ADT_LOG 변경</x:v>
      </x:c>
      <x:c r="P94" s="35" t="str">
        <x:v>미착수</x:v>
      </x:c>
      <x:c r="Q94" s="35" t="str"/>
      <x:c r="R94" s="35" t="str"/>
    </x:row>
    <x:row r="95">
      <x:c r="A95" s="35" t="n">
        <x:v>91</x:v>
      </x:c>
      <x:c r="B95" s="35" t="str">
        <x:v>SYS_EVT_LOG</x:v>
      </x:c>
      <x:c r="C95" s="35" t="str">
        <x:v>SYS_ADT_LOG</x:v>
      </x:c>
      <x:c r="D95" s="35" t="str">
        <x:v>테이블명 변경/대체</x:v>
      </x:c>
      <x:c r="E95" s="35" t="str">
        <x:v>BFR_DATA</x:v>
      </x:c>
      <x:c r="F95" s="35" t="str">
        <x:v>CHG_PREV_DATA</x:v>
      </x:c>
      <x:c r="G95" s="35" t="str">
        <x:v>이름변경</x:v>
      </x:c>
      <x:c r="H95" s="35" t="str">
        <x:v>높음</x:v>
      </x:c>
      <x:c r="I95" s="35" t="str">
        <x:v>LONGTEXT | NULL</x:v>
      </x:c>
      <x:c r="J95" s="35" t="str">
        <x:v>LONGTEXT | NULL</x:v>
      </x:c>
      <x:c r="K95" s="35" t="str">
        <x:v>BFR_DATA → CHG_PREV_DATA</x:v>
      </x:c>
      <x:c r="L95" s="35" t="str">
        <x:v>변경 전 데이터</x:v>
      </x:c>
      <x:c r="M95" s="35" t="str">
        <x:v>변경전데이터</x:v>
      </x:c>
      <x:c r="N95" s="35" t="str">
        <x:v>중간</x:v>
      </x:c>
      <x:c r="O95" s="35" t="str">
        <x:v>SYS_EVT_LOG.BFR_DATA 참조를 SYS_ADT_LOG.CHG_PREV_DATA로 변경하고 SQL alias/직렬화 명칭 점검; 테이블 참조 SYS_EVT_LOG → SYS_ADT_LOG 변경</x:v>
      </x:c>
      <x:c r="P95" s="35" t="str">
        <x:v>미착수</x:v>
      </x:c>
      <x:c r="Q95" s="35" t="str"/>
      <x:c r="R95" s="35" t="str"/>
    </x:row>
    <x:row r="96">
      <x:c r="A96" s="35" t="n">
        <x:v>92</x:v>
      </x:c>
      <x:c r="B96" s="35" t="str">
        <x:v>SYS_EVT_LOG</x:v>
      </x:c>
      <x:c r="C96" s="35" t="str">
        <x:v>SYS_ADT_LOG</x:v>
      </x:c>
      <x:c r="D96" s="35" t="str">
        <x:v>테이블명 변경/대체</x:v>
      </x:c>
      <x:c r="E96" s="35" t="str">
        <x:v>AFT_DATA</x:v>
      </x:c>
      <x:c r="F96" s="35" t="str">
        <x:v>CHG_AFTR_DATA</x:v>
      </x:c>
      <x:c r="G96" s="35" t="str">
        <x:v>이름변경</x:v>
      </x:c>
      <x:c r="H96" s="35" t="str">
        <x:v>높음</x:v>
      </x:c>
      <x:c r="I96" s="35" t="str">
        <x:v>LONGTEXT | NULL</x:v>
      </x:c>
      <x:c r="J96" s="35" t="str">
        <x:v>LONGTEXT | NULL</x:v>
      </x:c>
      <x:c r="K96" s="35" t="str">
        <x:v>AFT_DATA → CHG_AFTR_DATA</x:v>
      </x:c>
      <x:c r="L96" s="35" t="str">
        <x:v>변경 후 데이터</x:v>
      </x:c>
      <x:c r="M96" s="35" t="str">
        <x:v>변경이후데이터</x:v>
      </x:c>
      <x:c r="N96" s="35" t="str">
        <x:v>중간</x:v>
      </x:c>
      <x:c r="O96" s="35" t="str">
        <x:v>SYS_EVT_LOG.AFT_DATA 참조를 SYS_ADT_LOG.CHG_AFTR_DATA로 변경하고 SQL alias/직렬화 명칭 점검; 테이블 참조 SYS_EVT_LOG → SYS_ADT_LOG 변경</x:v>
      </x:c>
      <x:c r="P96" s="35" t="str">
        <x:v>미착수</x:v>
      </x:c>
      <x:c r="Q96" s="35" t="str"/>
      <x:c r="R96" s="35" t="str"/>
    </x:row>
    <x:row r="97">
      <x:c r="A97" s="35" t="n">
        <x:v>93</x:v>
      </x:c>
      <x:c r="B97" s="35" t="str">
        <x:v>SYS_EVT_LOG</x:v>
      </x:c>
      <x:c r="C97" s="35" t="str">
        <x:v>SYS_ADT_LOG</x:v>
      </x:c>
      <x:c r="D97" s="35" t="str">
        <x:v>테이블명 변경/대체</x:v>
      </x:c>
      <x:c r="E97" s="35" t="str">
        <x:v>IP_ADDR</x:v>
      </x:c>
      <x:c r="F97" s="35" t="str"/>
      <x:c r="G97" s="35" t="str">
        <x:v>컬럼 삭제</x:v>
      </x:c>
      <x:c r="H97" s="35" t="str">
        <x:v>확실</x:v>
      </x:c>
      <x:c r="I97" s="35" t="str">
        <x:v>VARCHAR(45) | NOT NULL</x:v>
      </x:c>
      <x:c r="J97" s="35" t="str"/>
      <x:c r="K97" s="35" t="str">
        <x:v>VARCHAR(45) | NOT NULL</x:v>
      </x:c>
      <x:c r="L97" s="35" t="str">
        <x:v>IPv4 또는 IPv6 주소</x:v>
      </x:c>
      <x:c r="M97" s="35" t="str"/>
      <x:c r="N97" s="35" t="str">
        <x:v>높음</x:v>
      </x:c>
      <x:c r="O97" s="35" t="str">
        <x:v>데이터 보존 여부 결정 후 SYS_EVT_LOG.IP_ADDR 참조(Entity/DTO/SQL/XML)을 제거 또는 대체; 테이블 참조 SYS_EVT_LOG → SYS_ADT_LOG 변경</x:v>
      </x:c>
      <x:c r="P97" s="35" t="str">
        <x:v>미착수</x:v>
      </x:c>
      <x:c r="Q97" s="35" t="str"/>
      <x:c r="R97" s="35" t="str"/>
    </x:row>
    <x:row r="98">
      <x:c r="A98" s="35" t="n">
        <x:v>94</x:v>
      </x:c>
      <x:c r="B98" s="35" t="str">
        <x:v>SYS_EVT_LOG</x:v>
      </x:c>
      <x:c r="C98" s="35" t="str">
        <x:v>SYS_ADT_LOG</x:v>
      </x:c>
      <x:c r="D98" s="35" t="str">
        <x:v>테이블명 변경/대체</x:v>
      </x:c>
      <x:c r="E98" s="35" t="str">
        <x:v>SYS_CRT_DT</x:v>
      </x:c>
      <x:c r="F98" s="35" t="str"/>
      <x:c r="G98" s="35" t="str">
        <x:v>컬럼 삭제</x:v>
      </x:c>
      <x:c r="H98" s="35" t="str">
        <x:v>확실</x:v>
      </x:c>
      <x:c r="I98" s="35" t="str">
        <x:v>DATETIME | NOT NULL | PK</x:v>
      </x:c>
      <x:c r="J98" s="35" t="str"/>
      <x:c r="K98" s="35" t="str">
        <x:v>DATETIME | NOT NULL | PK</x:v>
      </x:c>
      <x:c r="L98" s="35" t="str"/>
      <x:c r="M98" s="35" t="str"/>
      <x:c r="N98" s="35" t="str">
        <x:v>높음</x:v>
      </x:c>
      <x:c r="O98" s="35" t="str">
        <x:v>데이터 보존 여부 결정 후 SYS_EVT_LOG.SYS_CRT_DT 참조(Entity/DTO/SQL/XML)을 제거 또는 대체; 테이블 참조 SYS_EVT_LOG → SYS_ADT_LOG 변경</x:v>
      </x:c>
      <x:c r="P98" s="35" t="str">
        <x:v>미착수</x:v>
      </x:c>
      <x:c r="Q98" s="35" t="str"/>
      <x:c r="R98" s="35" t="str"/>
    </x:row>
    <x:row r="99">
      <x:c r="A99" s="35" t="n">
        <x:v>95</x:v>
      </x:c>
      <x:c r="B99" s="35" t="str">
        <x:v>SYS_EVT_LOG</x:v>
      </x:c>
      <x:c r="C99" s="35" t="str">
        <x:v>SYS_ADT_LOG</x:v>
      </x:c>
      <x:c r="D99" s="35" t="str">
        <x:v>테이블명 변경/대체</x:v>
      </x:c>
      <x:c r="E99" s="35" t="str"/>
      <x:c r="F99" s="35" t="str">
        <x:v>CHCK</x:v>
      </x:c>
      <x:c r="G99" s="35" t="str">
        <x:v>컬럼 추가</x:v>
      </x:c>
      <x:c r="H99" s="35" t="str">
        <x:v>확실</x:v>
      </x:c>
      <x:c r="I99" s="35" t="str"/>
      <x:c r="J99" s="35" t="str">
        <x:v>VARCHAR(1) | NULL</x:v>
      </x:c>
      <x:c r="K99" s="35" t="str">
        <x:v>VARCHAR(1) | NULL</x:v>
      </x:c>
      <x:c r="L99" s="35" t="str"/>
      <x:c r="M99" s="35" t="str">
        <x:v>점검</x:v>
      </x:c>
      <x:c r="N99" s="35" t="str">
        <x:v>중간</x:v>
      </x:c>
      <x:c r="O99" s="35" t="str">
        <x:v>SYS_ADT_LOG.CHCK 필드를 Entity/DTO/입력·조회 SQL에 반영하고 기존 데이터 채움 정책 확인; 테이블 참조 SYS_EVT_LOG → SYS_ADT_LOG 변경</x:v>
      </x:c>
      <x:c r="P99" s="35" t="str">
        <x:v>미착수</x:v>
      </x:c>
      <x:c r="Q99" s="35" t="str"/>
      <x:c r="R99" s="35" t="str"/>
    </x:row>
    <x:row r="100">
      <x:c r="A100" s="35" t="n">
        <x:v>96</x:v>
      </x:c>
      <x:c r="B100" s="35" t="str">
        <x:v>SYS_FILE</x:v>
      </x:c>
      <x:c r="C100" s="35" t="str">
        <x:v>SYS_FILE</x:v>
      </x:c>
      <x:c r="D100" s="35" t="str">
        <x:v>테이블 유지</x:v>
      </x:c>
      <x:c r="E100" s="35" t="str">
        <x:v>FILE_UUID</x:v>
      </x:c>
      <x:c r="F100" s="35" t="str">
        <x:v>FILE_UUID</x:v>
      </x:c>
      <x:c r="G100" s="35" t="str">
        <x:v>유지</x:v>
      </x:c>
      <x:c r="H100" s="35" t="str">
        <x:v>확실</x:v>
      </x:c>
      <x:c r="I100" s="35" t="str">
        <x:v>VARCHAR(36) | NOT NULL | PK</x:v>
      </x:c>
      <x:c r="J100" s="35" t="str">
        <x:v>VARCHAR(36) | NOT NULL | PK</x:v>
      </x:c>
      <x:c r="K100" s="35" t="str">
        <x:v>동일</x:v>
      </x:c>
      <x:c r="L100" s="35" t="str">
        <x:v>공통아이디</x:v>
      </x:c>
      <x:c r="M100" s="35" t="str">
        <x:v>파일UUID</x:v>
      </x:c>
      <x:c r="N100" s="35" t="str">
        <x:v>낮음</x:v>
      </x:c>
      <x:c r="O100" s="35" t="str">
        <x:v>코드 변경 불필요. 회귀 테스트만 수행</x:v>
      </x:c>
      <x:c r="P100" s="35" t="str">
        <x:v>해당없음</x:v>
      </x:c>
      <x:c r="Q100" s="35" t="str"/>
      <x:c r="R100" s="35" t="str"/>
    </x:row>
    <x:row r="101">
      <x:c r="A101" s="35" t="n">
        <x:v>97</x:v>
      </x:c>
      <x:c r="B101" s="35" t="str">
        <x:v>SYS_FILE</x:v>
      </x:c>
      <x:c r="C101" s="35" t="str">
        <x:v>SYS_FILE</x:v>
      </x:c>
      <x:c r="D101" s="35" t="str">
        <x:v>테이블 유지</x:v>
      </x:c>
      <x:c r="E101" s="35" t="str">
        <x:v>SYS_CRT_DT</x:v>
      </x:c>
      <x:c r="F101" s="35" t="str">
        <x:v>SYS_GEN_DT</x:v>
      </x:c>
      <x:c r="G101" s="35" t="str">
        <x:v>이름변경</x:v>
      </x:c>
      <x:c r="H101" s="35" t="str">
        <x:v>높음</x:v>
      </x:c>
      <x:c r="I101" s="35" t="str">
        <x:v>DATETIME | NOT NULL</x:v>
      </x:c>
      <x:c r="J101" s="35" t="str">
        <x:v>DATETIME | NOT NULL</x:v>
      </x:c>
      <x:c r="K101" s="35" t="str">
        <x:v>SYS_CRT_DT → SYS_GEN_DT</x:v>
      </x:c>
      <x:c r="L101" s="35" t="str">
        <x:v>작성일</x:v>
      </x:c>
      <x:c r="M101" s="35" t="str">
        <x:v>시스템생성일시</x:v>
      </x:c>
      <x:c r="N101" s="35" t="str">
        <x:v>중간</x:v>
      </x:c>
      <x:c r="O101" s="35" t="str">
        <x:v>SYS_FILE.SYS_CRT_DT 참조를 SYS_FILE.SYS_GEN_DT로 변경하고 SQL alias/직렬화 명칭 점검</x:v>
      </x:c>
      <x:c r="P101" s="35" t="str">
        <x:v>미착수</x:v>
      </x:c>
      <x:c r="Q101" s="35" t="str"/>
      <x:c r="R101" s="35" t="str"/>
    </x:row>
    <x:row r="102">
      <x:c r="A102" s="35" t="n">
        <x:v>98</x:v>
      </x:c>
      <x:c r="B102" s="35" t="str">
        <x:v>SYS_FILE</x:v>
      </x:c>
      <x:c r="C102" s="35" t="str">
        <x:v>SYS_FILE</x:v>
      </x:c>
      <x:c r="D102" s="35" t="str">
        <x:v>테이블 유지</x:v>
      </x:c>
      <x:c r="E102" s="35" t="str">
        <x:v>SYS_CRT_USR_ID</x:v>
      </x:c>
      <x:c r="F102" s="35" t="str">
        <x:v>SYS_CRT_USR_ID</x:v>
      </x:c>
      <x:c r="G102" s="35" t="str">
        <x:v>유지</x:v>
      </x:c>
      <x:c r="H102" s="35" t="str">
        <x:v>확실</x:v>
      </x:c>
      <x:c r="I102" s="35" t="str">
        <x:v>VARCHAR(32) | NOT NULL</x:v>
      </x:c>
      <x:c r="J102" s="35" t="str">
        <x:v>VARCHAR(32) | NOT NULL</x:v>
      </x:c>
      <x:c r="K102" s="35" t="str">
        <x:v>동일</x:v>
      </x:c>
      <x:c r="L102" s="35" t="str">
        <x:v>작성자 아이디</x:v>
      </x:c>
      <x:c r="M102" s="35" t="str">
        <x:v>시스템생성자ID</x:v>
      </x:c>
      <x:c r="N102" s="35" t="str">
        <x:v>낮음</x:v>
      </x:c>
      <x:c r="O102" s="35" t="str">
        <x:v>코드 변경 불필요. 회귀 테스트만 수행</x:v>
      </x:c>
      <x:c r="P102" s="35" t="str">
        <x:v>해당없음</x:v>
      </x:c>
      <x:c r="Q102" s="35" t="str"/>
      <x:c r="R102" s="35" t="str"/>
    </x:row>
    <x:row r="103">
      <x:c r="A103" s="35" t="n">
        <x:v>99</x:v>
      </x:c>
      <x:c r="B103" s="35" t="str">
        <x:v>SYS_FILE</x:v>
      </x:c>
      <x:c r="C103" s="35" t="str">
        <x:v>SYS_FILE</x:v>
      </x:c>
      <x:c r="D103" s="35" t="str">
        <x:v>테이블 유지</x:v>
      </x:c>
      <x:c r="E103" s="35" t="str">
        <x:v>SYS_UPD_DT</x:v>
      </x:c>
      <x:c r="F103" s="35" t="str">
        <x:v>SYS_MDFCN_DT</x:v>
      </x:c>
      <x:c r="G103" s="35" t="str">
        <x:v>이름변경</x:v>
      </x:c>
      <x:c r="H103" s="35" t="str">
        <x:v>높음</x:v>
      </x:c>
      <x:c r="I103" s="35" t="str">
        <x:v>DATETIME | NULL</x:v>
      </x:c>
      <x:c r="J103" s="35" t="str">
        <x:v>DATETIME | NULL</x:v>
      </x:c>
      <x:c r="K103" s="35" t="str">
        <x:v>SYS_UPD_DT → SYS_MDFCN_DT</x:v>
      </x:c>
      <x:c r="L103" s="35" t="str">
        <x:v>수정일자</x:v>
      </x:c>
      <x:c r="M103" s="35" t="str">
        <x:v>시스템수정일시</x:v>
      </x:c>
      <x:c r="N103" s="35" t="str">
        <x:v>중간</x:v>
      </x:c>
      <x:c r="O103" s="35" t="str">
        <x:v>SYS_FILE.SYS_UPD_DT 참조를 SYS_FILE.SYS_MDFCN_DT로 변경하고 SQL alias/직렬화 명칭 점검</x:v>
      </x:c>
      <x:c r="P103" s="35" t="str">
        <x:v>미착수</x:v>
      </x:c>
      <x:c r="Q103" s="35" t="str"/>
      <x:c r="R103" s="35" t="str"/>
    </x:row>
    <x:row r="104">
      <x:c r="A104" s="35" t="n">
        <x:v>100</x:v>
      </x:c>
      <x:c r="B104" s="35" t="str">
        <x:v>SYS_FILE</x:v>
      </x:c>
      <x:c r="C104" s="35" t="str">
        <x:v>SYS_FILE</x:v>
      </x:c>
      <x:c r="D104" s="35" t="str">
        <x:v>테이블 유지</x:v>
      </x:c>
      <x:c r="E104" s="35" t="str">
        <x:v>SYS_UPD_USR_ID</x:v>
      </x:c>
      <x:c r="F104" s="35" t="str">
        <x:v>SYS_MDFR_ID</x:v>
      </x:c>
      <x:c r="G104" s="35" t="str">
        <x:v>이름+정의 변경</x:v>
      </x:c>
      <x:c r="H104" s="35" t="str">
        <x:v>높음</x:v>
      </x:c>
      <x:c r="I104" s="35" t="str">
        <x:v>VARCHAR(32) | NULL</x:v>
      </x:c>
      <x:c r="J104" s="35" t="str">
        <x:v>VARCHAR(20) | NULL</x:v>
      </x:c>
      <x:c r="K104" s="35" t="str">
        <x:v>VARCHAR(32) → VARCHAR(20)</x:v>
      </x:c>
      <x:c r="L104" s="35" t="str">
        <x:v>수정자 아이디</x:v>
      </x:c>
      <x:c r="M104" s="35" t="str">
        <x:v>시스템수정자ID</x:v>
      </x:c>
      <x:c r="N104" s="35" t="str">
        <x:v>낮음</x:v>
      </x:c>
      <x:c r="O104" s="35" t="str">
        <x:v>코드 변경 불필요. 회귀 테스트만 수행</x:v>
      </x:c>
      <x:c r="P104" s="35" t="str">
        <x:v>미착수</x:v>
      </x:c>
      <x:c r="Q104" s="35" t="str"/>
      <x:c r="R104" s="35" t="str"/>
    </x:row>
    <x:row r="105">
      <x:c r="A105" s="35" t="n">
        <x:v>101</x:v>
      </x:c>
      <x:c r="B105" s="35" t="str">
        <x:v>SYS_FILE</x:v>
      </x:c>
      <x:c r="C105" s="35" t="str">
        <x:v>SYS_FILE</x:v>
      </x:c>
      <x:c r="D105" s="35" t="str">
        <x:v>테이블 유지</x:v>
      </x:c>
      <x:c r="E105" s="35" t="str">
        <x:v>TEMP_YN</x:v>
      </x:c>
      <x:c r="F105" s="35" t="str">
        <x:v>TMPR_FILE_YN</x:v>
      </x:c>
      <x:c r="G105" s="35" t="str">
        <x:v>이름+정의 변경</x:v>
      </x:c>
      <x:c r="H105" s="35" t="str">
        <x:v>높음</x:v>
      </x:c>
      <x:c r="I105" s="35" t="str">
        <x:v>INT | NOT NULL</x:v>
      </x:c>
      <x:c r="J105" s="35" t="str">
        <x:v>CHAR(1) | NOT NULL</x:v>
      </x:c>
      <x:c r="K105" s="35" t="str">
        <x:v>INT → CHAR(1)</x:v>
      </x:c>
      <x:c r="L105" s="35" t="str">
        <x:v>임시파일 여부</x:v>
      </x:c>
      <x:c r="M105" s="35" t="str">
        <x:v>임시파일여부</x:v>
      </x:c>
      <x:c r="N105" s="35" t="str">
        <x:v>낮음</x:v>
      </x:c>
      <x:c r="O105" s="35" t="str">
        <x:v>코드 변경 불필요. 회귀 테스트만 수행</x:v>
      </x:c>
      <x:c r="P105" s="35" t="str">
        <x:v>미착수</x:v>
      </x:c>
      <x:c r="Q105" s="35" t="str"/>
      <x:c r="R105" s="35" t="str"/>
    </x:row>
    <x:row r="106">
      <x:c r="A106" s="35" t="n">
        <x:v>102</x:v>
      </x:c>
      <x:c r="B106" s="35" t="str">
        <x:v>SYS_FILE_DTL</x:v>
      </x:c>
      <x:c r="C106" s="35" t="str">
        <x:v>SYS_FILE_DTL</x:v>
      </x:c>
      <x:c r="D106" s="35" t="str">
        <x:v>테이블 유지</x:v>
      </x:c>
      <x:c r="E106" s="35" t="str">
        <x:v>FILE_ID</x:v>
      </x:c>
      <x:c r="F106" s="35" t="str">
        <x:v>FILE_ID</x:v>
      </x:c>
      <x:c r="G106" s="35" t="str">
        <x:v>유지</x:v>
      </x:c>
      <x:c r="H106" s="35" t="str">
        <x:v>확실</x:v>
      </x:c>
      <x:c r="I106" s="35" t="str">
        <x:v>VARCHAR(36) | NOT NULL | PK</x:v>
      </x:c>
      <x:c r="J106" s="35" t="str">
        <x:v>VARCHAR(36) | NOT NULL | PK</x:v>
      </x:c>
      <x:c r="K106" s="35" t="str">
        <x:v>동일</x:v>
      </x:c>
      <x:c r="L106" s="35" t="str">
        <x:v>파일아이디</x:v>
      </x:c>
      <x:c r="M106" s="35" t="str">
        <x:v>파일ID</x:v>
      </x:c>
      <x:c r="N106" s="35" t="str">
        <x:v>낮음</x:v>
      </x:c>
      <x:c r="O106" s="35" t="str">
        <x:v>코드 변경 불필요. 회귀 테스트만 수행</x:v>
      </x:c>
      <x:c r="P106" s="35" t="str">
        <x:v>해당없음</x:v>
      </x:c>
      <x:c r="Q106" s="35" t="str"/>
      <x:c r="R106" s="35" t="str"/>
    </x:row>
    <x:row r="107">
      <x:c r="A107" s="35" t="n">
        <x:v>103</x:v>
      </x:c>
      <x:c r="B107" s="35" t="str">
        <x:v>SYS_FILE_DTL</x:v>
      </x:c>
      <x:c r="C107" s="35" t="str">
        <x:v>SYS_FILE_DTL</x:v>
      </x:c>
      <x:c r="D107" s="35" t="str">
        <x:v>테이블 유지</x:v>
      </x:c>
      <x:c r="E107" s="35" t="str">
        <x:v>FILE_UUID</x:v>
      </x:c>
      <x:c r="F107" s="35" t="str">
        <x:v>FILE_UUID</x:v>
      </x:c>
      <x:c r="G107" s="35" t="str">
        <x:v>유지</x:v>
      </x:c>
      <x:c r="H107" s="35" t="str">
        <x:v>확실</x:v>
      </x:c>
      <x:c r="I107" s="35" t="str">
        <x:v>VARCHAR(36) | NOT NULL | PK</x:v>
      </x:c>
      <x:c r="J107" s="35" t="str">
        <x:v>VARCHAR(36) | NOT NULL | PK</x:v>
      </x:c>
      <x:c r="K107" s="35" t="str">
        <x:v>동일</x:v>
      </x:c>
      <x:c r="L107" s="35" t="str">
        <x:v>공통아이디</x:v>
      </x:c>
      <x:c r="M107" s="35" t="str">
        <x:v>파일UUID</x:v>
      </x:c>
      <x:c r="N107" s="35" t="str">
        <x:v>낮음</x:v>
      </x:c>
      <x:c r="O107" s="35" t="str">
        <x:v>코드 변경 불필요. 회귀 테스트만 수행</x:v>
      </x:c>
      <x:c r="P107" s="35" t="str">
        <x:v>해당없음</x:v>
      </x:c>
      <x:c r="Q107" s="35" t="str"/>
      <x:c r="R107" s="35" t="str"/>
    </x:row>
    <x:row r="108">
      <x:c r="A108" s="35" t="n">
        <x:v>104</x:v>
      </x:c>
      <x:c r="B108" s="35" t="str">
        <x:v>SYS_FILE_DTL</x:v>
      </x:c>
      <x:c r="C108" s="35" t="str">
        <x:v>SYS_FILE_DTL</x:v>
      </x:c>
      <x:c r="D108" s="35" t="str">
        <x:v>테이블 유지</x:v>
      </x:c>
      <x:c r="E108" s="35" t="str">
        <x:v>FILE_NM</x:v>
      </x:c>
      <x:c r="F108" s="35" t="str">
        <x:v>FILE_NM</x:v>
      </x:c>
      <x:c r="G108" s="35" t="str">
        <x:v>유지</x:v>
      </x:c>
      <x:c r="H108" s="35" t="str">
        <x:v>확실</x:v>
      </x:c>
      <x:c r="I108" s="35" t="str">
        <x:v>VARCHAR(3000) | NOT NULL</x:v>
      </x:c>
      <x:c r="J108" s="35" t="str">
        <x:v>VARCHAR(3000) | NOT NULL</x:v>
      </x:c>
      <x:c r="K108" s="35" t="str">
        <x:v>동일</x:v>
      </x:c>
      <x:c r="L108" s="35" t="str">
        <x:v>파일이름</x:v>
      </x:c>
      <x:c r="M108" s="35" t="str">
        <x:v>파일명</x:v>
      </x:c>
      <x:c r="N108" s="35" t="str">
        <x:v>낮음</x:v>
      </x:c>
      <x:c r="O108" s="35" t="str">
        <x:v>코드 변경 불필요. 회귀 테스트만 수행</x:v>
      </x:c>
      <x:c r="P108" s="35" t="str">
        <x:v>해당없음</x:v>
      </x:c>
      <x:c r="Q108" s="35" t="str"/>
      <x:c r="R108" s="35" t="str"/>
    </x:row>
    <x:row r="109">
      <x:c r="A109" s="35" t="n">
        <x:v>105</x:v>
      </x:c>
      <x:c r="B109" s="35" t="str">
        <x:v>SYS_FILE_DTL</x:v>
      </x:c>
      <x:c r="C109" s="35" t="str">
        <x:v>SYS_FILE_DTL</x:v>
      </x:c>
      <x:c r="D109" s="35" t="str">
        <x:v>테이블 유지</x:v>
      </x:c>
      <x:c r="E109" s="35" t="str">
        <x:v>FILE_SZ</x:v>
      </x:c>
      <x:c r="F109" s="35" t="str">
        <x:v>FILE_SZ</x:v>
      </x:c>
      <x:c r="G109" s="35" t="str">
        <x:v>유지</x:v>
      </x:c>
      <x:c r="H109" s="35" t="str">
        <x:v>확실</x:v>
      </x:c>
      <x:c r="I109" s="35" t="str">
        <x:v>VARCHAR(10) | NOT NULL</x:v>
      </x:c>
      <x:c r="J109" s="35" t="str">
        <x:v>VARCHAR(10) | NOT NULL</x:v>
      </x:c>
      <x:c r="K109" s="35" t="str">
        <x:v>동일</x:v>
      </x:c>
      <x:c r="L109" s="35" t="str">
        <x:v>파일크기</x:v>
      </x:c>
      <x:c r="M109" s="35" t="str">
        <x:v>파일크기</x:v>
      </x:c>
      <x:c r="N109" s="35" t="str">
        <x:v>낮음</x:v>
      </x:c>
      <x:c r="O109" s="35" t="str">
        <x:v>코드 변경 불필요. 회귀 테스트만 수행</x:v>
      </x:c>
      <x:c r="P109" s="35" t="str">
        <x:v>해당없음</x:v>
      </x:c>
      <x:c r="Q109" s="35" t="str"/>
      <x:c r="R109" s="35" t="str"/>
    </x:row>
    <x:row r="110">
      <x:c r="A110" s="35" t="n">
        <x:v>106</x:v>
      </x:c>
      <x:c r="B110" s="35" t="str">
        <x:v>SYS_FILE_DTL</x:v>
      </x:c>
      <x:c r="C110" s="35" t="str">
        <x:v>SYS_FILE_DTL</x:v>
      </x:c>
      <x:c r="D110" s="35" t="str">
        <x:v>테이블 유지</x:v>
      </x:c>
      <x:c r="E110" s="35" t="str">
        <x:v>FILE_EXT</x:v>
      </x:c>
      <x:c r="F110" s="35" t="str">
        <x:v>FEXT</x:v>
      </x:c>
      <x:c r="G110" s="35" t="str">
        <x:v>이름변경</x:v>
      </x:c>
      <x:c r="H110" s="35" t="str">
        <x:v>높음</x:v>
      </x:c>
      <x:c r="I110" s="35" t="str">
        <x:v>VARCHAR(50) | NOT NULL</x:v>
      </x:c>
      <x:c r="J110" s="35" t="str">
        <x:v>VARCHAR(50) | NOT NULL</x:v>
      </x:c>
      <x:c r="K110" s="35" t="str">
        <x:v>FILE_EXT → FEXT</x:v>
      </x:c>
      <x:c r="L110" s="35" t="str">
        <x:v>파일확장자</x:v>
      </x:c>
      <x:c r="M110" s="35" t="str">
        <x:v>파일확장자</x:v>
      </x:c>
      <x:c r="N110" s="35" t="str">
        <x:v>중간</x:v>
      </x:c>
      <x:c r="O110" s="35" t="str">
        <x:v>SYS_FILE_DTL.FILE_EXT 참조를 SYS_FILE_DTL.FEXT로 변경하고 SQL alias/직렬화 명칭 점검</x:v>
      </x:c>
      <x:c r="P110" s="35" t="str">
        <x:v>미착수</x:v>
      </x:c>
      <x:c r="Q110" s="35" t="str"/>
      <x:c r="R110" s="35" t="str"/>
    </x:row>
    <x:row r="111">
      <x:c r="A111" s="35" t="n">
        <x:v>107</x:v>
      </x:c>
      <x:c r="B111" s="35" t="str">
        <x:v>SYS_FILE_DTL</x:v>
      </x:c>
      <x:c r="C111" s="35" t="str">
        <x:v>SYS_FILE_DTL</x:v>
      </x:c>
      <x:c r="D111" s="35" t="str">
        <x:v>테이블 유지</x:v>
      </x:c>
      <x:c r="E111" s="35" t="str">
        <x:v>FILE_PATH</x:v>
      </x:c>
      <x:c r="F111" s="35" t="str">
        <x:v>FILE_PATH</x:v>
      </x:c>
      <x:c r="G111" s="35" t="str">
        <x:v>유지</x:v>
      </x:c>
      <x:c r="H111" s="35" t="str">
        <x:v>확실</x:v>
      </x:c>
      <x:c r="I111" s="35" t="str">
        <x:v>VARCHAR(1000) | NOT NULL</x:v>
      </x:c>
      <x:c r="J111" s="35" t="str">
        <x:v>VARCHAR(1000) | NOT NULL</x:v>
      </x:c>
      <x:c r="K111" s="35" t="str">
        <x:v>동일</x:v>
      </x:c>
      <x:c r="L111" s="35" t="str">
        <x:v>파일경로</x:v>
      </x:c>
      <x:c r="M111" s="35" t="str">
        <x:v>파일경로</x:v>
      </x:c>
      <x:c r="N111" s="35" t="str">
        <x:v>낮음</x:v>
      </x:c>
      <x:c r="O111" s="35" t="str">
        <x:v>코드 변경 불필요. 회귀 테스트만 수행</x:v>
      </x:c>
      <x:c r="P111" s="35" t="str">
        <x:v>해당없음</x:v>
      </x:c>
      <x:c r="Q111" s="35" t="str"/>
      <x:c r="R111" s="35" t="str"/>
    </x:row>
    <x:row r="112">
      <x:c r="A112" s="35" t="n">
        <x:v>108</x:v>
      </x:c>
      <x:c r="B112" s="35" t="str">
        <x:v>SYS_FILE_DTL</x:v>
      </x:c>
      <x:c r="C112" s="35" t="str">
        <x:v>SYS_FILE_DTL</x:v>
      </x:c>
      <x:c r="D112" s="35" t="str">
        <x:v>테이블 유지</x:v>
      </x:c>
      <x:c r="E112" s="35" t="str">
        <x:v>SYS_CRT_DT</x:v>
      </x:c>
      <x:c r="F112" s="35" t="str">
        <x:v>SYS_GEN_DT</x:v>
      </x:c>
      <x:c r="G112" s="35" t="str">
        <x:v>이름변경</x:v>
      </x:c>
      <x:c r="H112" s="35" t="str">
        <x:v>높음</x:v>
      </x:c>
      <x:c r="I112" s="35" t="str">
        <x:v>DATETIME | NOT NULL</x:v>
      </x:c>
      <x:c r="J112" s="35" t="str">
        <x:v>DATETIME | NOT NULL</x:v>
      </x:c>
      <x:c r="K112" s="35" t="str">
        <x:v>SYS_CRT_DT → SYS_GEN_DT</x:v>
      </x:c>
      <x:c r="L112" s="35" t="str">
        <x:v>작성일자</x:v>
      </x:c>
      <x:c r="M112" s="35" t="str">
        <x:v>시스템생성일시</x:v>
      </x:c>
      <x:c r="N112" s="35" t="str">
        <x:v>중간</x:v>
      </x:c>
      <x:c r="O112" s="35" t="str">
        <x:v>SYS_FILE_DTL.SYS_CRT_DT 참조를 SYS_FILE_DTL.SYS_GEN_DT로 변경하고 SQL alias/직렬화 명칭 점검</x:v>
      </x:c>
      <x:c r="P112" s="35" t="str">
        <x:v>미착수</x:v>
      </x:c>
      <x:c r="Q112" s="35" t="str"/>
      <x:c r="R112" s="35" t="str"/>
    </x:row>
    <x:row r="113">
      <x:c r="A113" s="35" t="n">
        <x:v>109</x:v>
      </x:c>
      <x:c r="B113" s="35" t="str">
        <x:v>SYS_FILE_DTL</x:v>
      </x:c>
      <x:c r="C113" s="35" t="str">
        <x:v>SYS_FILE_DTL</x:v>
      </x:c>
      <x:c r="D113" s="35" t="str">
        <x:v>테이블 유지</x:v>
      </x:c>
      <x:c r="E113" s="35" t="str">
        <x:v>SYS_CRT_USR_ID</x:v>
      </x:c>
      <x:c r="F113" s="35" t="str">
        <x:v>SYS_CRT_USR_ID</x:v>
      </x:c>
      <x:c r="G113" s="35" t="str">
        <x:v>유지</x:v>
      </x:c>
      <x:c r="H113" s="35" t="str">
        <x:v>확실</x:v>
      </x:c>
      <x:c r="I113" s="35" t="str">
        <x:v>VARCHAR(32) | NULL</x:v>
      </x:c>
      <x:c r="J113" s="35" t="str">
        <x:v>VARCHAR(32) | NULL</x:v>
      </x:c>
      <x:c r="K113" s="35" t="str">
        <x:v>동일</x:v>
      </x:c>
      <x:c r="L113" s="35" t="str">
        <x:v>작성자 아이디</x:v>
      </x:c>
      <x:c r="M113" s="35" t="str">
        <x:v>시스템생성자ID</x:v>
      </x:c>
      <x:c r="N113" s="35" t="str">
        <x:v>낮음</x:v>
      </x:c>
      <x:c r="O113" s="35" t="str">
        <x:v>코드 변경 불필요. 회귀 테스트만 수행</x:v>
      </x:c>
      <x:c r="P113" s="35" t="str">
        <x:v>해당없음</x:v>
      </x:c>
      <x:c r="Q113" s="35" t="str"/>
      <x:c r="R113" s="35" t="str"/>
    </x:row>
    <x:row r="114">
      <x:c r="A114" s="35" t="n">
        <x:v>110</x:v>
      </x:c>
      <x:c r="B114" s="35" t="str">
        <x:v>SYS_FILE_DTL</x:v>
      </x:c>
      <x:c r="C114" s="35" t="str">
        <x:v>SYS_FILE_DTL</x:v>
      </x:c>
      <x:c r="D114" s="35" t="str">
        <x:v>테이블 유지</x:v>
      </x:c>
      <x:c r="E114" s="35" t="str">
        <x:v>SYS_UPD_DT</x:v>
      </x:c>
      <x:c r="F114" s="35" t="str">
        <x:v>SYS_MDFCN_DT</x:v>
      </x:c>
      <x:c r="G114" s="35" t="str">
        <x:v>이름변경</x:v>
      </x:c>
      <x:c r="H114" s="35" t="str">
        <x:v>높음</x:v>
      </x:c>
      <x:c r="I114" s="35" t="str">
        <x:v>DATETIME | NULL</x:v>
      </x:c>
      <x:c r="J114" s="35" t="str">
        <x:v>DATETIME | NULL</x:v>
      </x:c>
      <x:c r="K114" s="35" t="str">
        <x:v>SYS_UPD_DT → SYS_MDFCN_DT</x:v>
      </x:c>
      <x:c r="L114" s="35" t="str">
        <x:v>수정일자</x:v>
      </x:c>
      <x:c r="M114" s="35" t="str">
        <x:v>시스템수정일시</x:v>
      </x:c>
      <x:c r="N114" s="35" t="str">
        <x:v>중간</x:v>
      </x:c>
      <x:c r="O114" s="35" t="str">
        <x:v>SYS_FILE_DTL.SYS_UPD_DT 참조를 SYS_FILE_DTL.SYS_MDFCN_DT로 변경하고 SQL alias/직렬화 명칭 점검</x:v>
      </x:c>
      <x:c r="P114" s="35" t="str">
        <x:v>미착수</x:v>
      </x:c>
      <x:c r="Q114" s="35" t="str"/>
      <x:c r="R114" s="35" t="str"/>
    </x:row>
    <x:row r="115">
      <x:c r="A115" s="35" t="n">
        <x:v>111</x:v>
      </x:c>
      <x:c r="B115" s="35" t="str">
        <x:v>SYS_FILE_DTL</x:v>
      </x:c>
      <x:c r="C115" s="35" t="str">
        <x:v>SYS_FILE_DTL</x:v>
      </x:c>
      <x:c r="D115" s="35" t="str">
        <x:v>테이블 유지</x:v>
      </x:c>
      <x:c r="E115" s="35" t="str">
        <x:v>SYS_UPD_USR_ID</x:v>
      </x:c>
      <x:c r="F115" s="35" t="str">
        <x:v>SYS_MDFR_ID</x:v>
      </x:c>
      <x:c r="G115" s="35" t="str">
        <x:v>이름+정의 변경</x:v>
      </x:c>
      <x:c r="H115" s="35" t="str">
        <x:v>높음</x:v>
      </x:c>
      <x:c r="I115" s="35" t="str">
        <x:v>VARCHAR(32) | NULL</x:v>
      </x:c>
      <x:c r="J115" s="35" t="str">
        <x:v>VARCHAR(20) | NULL</x:v>
      </x:c>
      <x:c r="K115" s="35" t="str">
        <x:v>VARCHAR(32) → VARCHAR(20)</x:v>
      </x:c>
      <x:c r="L115" s="35" t="str">
        <x:v>수정자 아이디</x:v>
      </x:c>
      <x:c r="M115" s="35" t="str">
        <x:v>시스템수정자ID</x:v>
      </x:c>
      <x:c r="N115" s="35" t="str">
        <x:v>낮음</x:v>
      </x:c>
      <x:c r="O115" s="35" t="str">
        <x:v>코드 변경 불필요. 회귀 테스트만 수행</x:v>
      </x:c>
      <x:c r="P115" s="35" t="str">
        <x:v>미착수</x:v>
      </x:c>
      <x:c r="Q115" s="35" t="str"/>
      <x:c r="R115" s="35" t="str"/>
    </x:row>
    <x:row r="116">
      <x:c r="A116" s="35" t="n">
        <x:v>112</x:v>
      </x:c>
      <x:c r="B116" s="35" t="str">
        <x:v>SYS_FILE_DTL</x:v>
      </x:c>
      <x:c r="C116" s="35" t="str">
        <x:v>SYS_FILE_DTL</x:v>
      </x:c>
      <x:c r="D116" s="35" t="str">
        <x:v>테이블 유지</x:v>
      </x:c>
      <x:c r="E116" s="35" t="str">
        <x:v>MENU_CD</x:v>
      </x:c>
      <x:c r="F116" s="35" t="str">
        <x:v>MENU_CD</x:v>
      </x:c>
      <x:c r="G116" s="35" t="str">
        <x:v>유지</x:v>
      </x:c>
      <x:c r="H116" s="35" t="str">
        <x:v>확실</x:v>
      </x:c>
      <x:c r="I116" s="35" t="str">
        <x:v>VARCHAR(10) | NULL</x:v>
      </x:c>
      <x:c r="J116" s="35" t="str">
        <x:v>VARCHAR(10) | NULL</x:v>
      </x:c>
      <x:c r="K116" s="35" t="str">
        <x:v>동일</x:v>
      </x:c>
      <x:c r="L116" s="35" t="str">
        <x:v>메뉴코드(common_menu tbl)</x:v>
      </x:c>
      <x:c r="M116" s="35" t="str">
        <x:v>메뉴코드</x:v>
      </x:c>
      <x:c r="N116" s="35" t="str">
        <x:v>낮음</x:v>
      </x:c>
      <x:c r="O116" s="35" t="str">
        <x:v>코드 변경 불필요. 회귀 테스트만 수행</x:v>
      </x:c>
      <x:c r="P116" s="35" t="str">
        <x:v>해당없음</x:v>
      </x:c>
      <x:c r="Q116" s="35" t="str"/>
      <x:c r="R116" s="35" t="str"/>
    </x:row>
    <x:row r="117">
      <x:c r="A117" s="35" t="n">
        <x:v>113</x:v>
      </x:c>
      <x:c r="B117" s="35" t="str">
        <x:v>SYS_ICON</x:v>
      </x:c>
      <x:c r="C117" s="35" t="str">
        <x:v>SYS_ICON</x:v>
      </x:c>
      <x:c r="D117" s="35" t="str">
        <x:v>테이블 유지</x:v>
      </x:c>
      <x:c r="E117" s="35" t="str">
        <x:v>ICON_CD</x:v>
      </x:c>
      <x:c r="F117" s="35" t="str">
        <x:v>ICON_CD</x:v>
      </x:c>
      <x:c r="G117" s="35" t="str">
        <x:v>유지</x:v>
      </x:c>
      <x:c r="H117" s="35" t="str">
        <x:v>확실</x:v>
      </x:c>
      <x:c r="I117" s="35" t="str">
        <x:v>VARCHAR(100) | NULL</x:v>
      </x:c>
      <x:c r="J117" s="35" t="str">
        <x:v>VARCHAR(100) | NULL</x:v>
      </x:c>
      <x:c r="K117" s="35" t="str">
        <x:v>동일</x:v>
      </x:c>
      <x:c r="L117" s="35" t="str">
        <x:v>아이콘 코드</x:v>
      </x:c>
      <x:c r="M117" s="35" t="str">
        <x:v>아이콘코드</x:v>
      </x:c>
      <x:c r="N117" s="35" t="str">
        <x:v>낮음</x:v>
      </x:c>
      <x:c r="O117" s="35" t="str">
        <x:v>코드 변경 불필요. 회귀 테스트만 수행</x:v>
      </x:c>
      <x:c r="P117" s="35" t="str">
        <x:v>해당없음</x:v>
      </x:c>
      <x:c r="Q117" s="35" t="str"/>
      <x:c r="R117" s="35" t="str"/>
    </x:row>
    <x:row r="118">
      <x:c r="A118" s="35" t="n">
        <x:v>114</x:v>
      </x:c>
      <x:c r="B118" s="35" t="str">
        <x:v>SYS_ICON</x:v>
      </x:c>
      <x:c r="C118" s="35" t="str">
        <x:v>SYS_ICON</x:v>
      </x:c>
      <x:c r="D118" s="35" t="str">
        <x:v>테이블 유지</x:v>
      </x:c>
      <x:c r="E118" s="35" t="str">
        <x:v>ICON_NM</x:v>
      </x:c>
      <x:c r="F118" s="35" t="str">
        <x:v>ICON_NM</x:v>
      </x:c>
      <x:c r="G118" s="35" t="str">
        <x:v>유지</x:v>
      </x:c>
      <x:c r="H118" s="35" t="str">
        <x:v>확실</x:v>
      </x:c>
      <x:c r="I118" s="35" t="str">
        <x:v>VARCHAR(100) | NULL</x:v>
      </x:c>
      <x:c r="J118" s="35" t="str">
        <x:v>VARCHAR(100) | NULL</x:v>
      </x:c>
      <x:c r="K118" s="35" t="str">
        <x:v>동일</x:v>
      </x:c>
      <x:c r="L118" s="35" t="str">
        <x:v>아이콘 이름</x:v>
      </x:c>
      <x:c r="M118" s="35" t="str">
        <x:v>아이콘이름</x:v>
      </x:c>
      <x:c r="N118" s="35" t="str">
        <x:v>낮음</x:v>
      </x:c>
      <x:c r="O118" s="35" t="str">
        <x:v>코드 변경 불필요. 회귀 테스트만 수행</x:v>
      </x:c>
      <x:c r="P118" s="35" t="str">
        <x:v>해당없음</x:v>
      </x:c>
      <x:c r="Q118" s="35" t="str"/>
      <x:c r="R118" s="35" t="str"/>
    </x:row>
    <x:row r="119">
      <x:c r="A119" s="35" t="n">
        <x:v>115</x:v>
      </x:c>
      <x:c r="B119" s="35" t="str">
        <x:v>SYS_ICON</x:v>
      </x:c>
      <x:c r="C119" s="35" t="str">
        <x:v>SYS_ICON</x:v>
      </x:c>
      <x:c r="D119" s="35" t="str">
        <x:v>테이블 유지</x:v>
      </x:c>
      <x:c r="E119" s="35" t="str">
        <x:v>ICON_CLS</x:v>
      </x:c>
      <x:c r="F119" s="35" t="str">
        <x:v>ICON_CLS</x:v>
      </x:c>
      <x:c r="G119" s="35" t="str">
        <x:v>유지</x:v>
      </x:c>
      <x:c r="H119" s="35" t="str">
        <x:v>확실</x:v>
      </x:c>
      <x:c r="I119" s="35" t="str">
        <x:v>VARCHAR(100) | NULL</x:v>
      </x:c>
      <x:c r="J119" s="35" t="str">
        <x:v>VARCHAR(100) | NULL</x:v>
      </x:c>
      <x:c r="K119" s="35" t="str">
        <x:v>동일</x:v>
      </x:c>
      <x:c r="L119" s="35" t="str">
        <x:v>클래스명</x:v>
      </x:c>
      <x:c r="M119" s="35" t="str">
        <x:v>클래스명</x:v>
      </x:c>
      <x:c r="N119" s="35" t="str">
        <x:v>낮음</x:v>
      </x:c>
      <x:c r="O119" s="35" t="str">
        <x:v>코드 변경 불필요. 회귀 테스트만 수행</x:v>
      </x:c>
      <x:c r="P119" s="35" t="str">
        <x:v>해당없음</x:v>
      </x:c>
      <x:c r="Q119" s="35" t="str"/>
      <x:c r="R119" s="35" t="str"/>
    </x:row>
    <x:row r="120">
      <x:c r="A120" s="35" t="n">
        <x:v>116</x:v>
      </x:c>
      <x:c r="B120" s="35" t="str">
        <x:v>SYS_MENU</x:v>
      </x:c>
      <x:c r="C120" s="35" t="str">
        <x:v>SYS_MENU</x:v>
      </x:c>
      <x:c r="D120" s="35" t="str">
        <x:v>테이블 유지</x:v>
      </x:c>
      <x:c r="E120" s="35" t="str">
        <x:v>MENU_CD</x:v>
      </x:c>
      <x:c r="F120" s="35" t="str">
        <x:v>MENU_CD</x:v>
      </x:c>
      <x:c r="G120" s="35" t="str">
        <x:v>유지</x:v>
      </x:c>
      <x:c r="H120" s="35" t="str">
        <x:v>확실</x:v>
      </x:c>
      <x:c r="I120" s="35" t="str">
        <x:v>VARCHAR(100) | NOT NULL | PK</x:v>
      </x:c>
      <x:c r="J120" s="35" t="str">
        <x:v>VARCHAR(100) | NOT NULL | PK</x:v>
      </x:c>
      <x:c r="K120" s="35" t="str">
        <x:v>동일</x:v>
      </x:c>
      <x:c r="L120" s="35" t="str">
        <x:v>메뉴코드</x:v>
      </x:c>
      <x:c r="M120" s="35" t="str">
        <x:v>메뉴코드</x:v>
      </x:c>
      <x:c r="N120" s="35" t="str">
        <x:v>낮음</x:v>
      </x:c>
      <x:c r="O120" s="35" t="str">
        <x:v>코드 변경 불필요. 회귀 테스트만 수행</x:v>
      </x:c>
      <x:c r="P120" s="35" t="str">
        <x:v>해당없음</x:v>
      </x:c>
      <x:c r="Q120" s="35" t="str"/>
      <x:c r="R120" s="35" t="str"/>
    </x:row>
    <x:row r="121">
      <x:c r="A121" s="35" t="n">
        <x:v>117</x:v>
      </x:c>
      <x:c r="B121" s="35" t="str">
        <x:v>SYS_MENU</x:v>
      </x:c>
      <x:c r="C121" s="35" t="str">
        <x:v>SYS_MENU</x:v>
      </x:c>
      <x:c r="D121" s="35" t="str">
        <x:v>테이블 유지</x:v>
      </x:c>
      <x:c r="E121" s="35" t="str">
        <x:v>MENU_NM_KR</x:v>
      </x:c>
      <x:c r="F121" s="35" t="str">
        <x:v>MENU_NM_KR</x:v>
      </x:c>
      <x:c r="G121" s="35" t="str">
        <x:v>유지</x:v>
      </x:c>
      <x:c r="H121" s="35" t="str">
        <x:v>확실</x:v>
      </x:c>
      <x:c r="I121" s="35" t="str">
        <x:v>VARCHAR(100) | NULL</x:v>
      </x:c>
      <x:c r="J121" s="35" t="str">
        <x:v>VARCHAR(100) | NULL</x:v>
      </x:c>
      <x:c r="K121" s="35" t="str">
        <x:v>동일</x:v>
      </x:c>
      <x:c r="L121" s="35" t="str">
        <x:v>메뉴명_한국어</x:v>
      </x:c>
      <x:c r="M121" s="35" t="str">
        <x:v>메뉴명_한국어</x:v>
      </x:c>
      <x:c r="N121" s="35" t="str">
        <x:v>낮음</x:v>
      </x:c>
      <x:c r="O121" s="35" t="str">
        <x:v>코드 변경 불필요. 회귀 테스트만 수행</x:v>
      </x:c>
      <x:c r="P121" s="35" t="str">
        <x:v>해당없음</x:v>
      </x:c>
      <x:c r="Q121" s="35" t="str"/>
      <x:c r="R121" s="35" t="str"/>
    </x:row>
    <x:row r="122">
      <x:c r="A122" s="35" t="n">
        <x:v>118</x:v>
      </x:c>
      <x:c r="B122" s="35" t="str">
        <x:v>SYS_MENU</x:v>
      </x:c>
      <x:c r="C122" s="35" t="str">
        <x:v>SYS_MENU</x:v>
      </x:c>
      <x:c r="D122" s="35" t="str">
        <x:v>테이블 유지</x:v>
      </x:c>
      <x:c r="E122" s="35" t="str">
        <x:v>MENU_NM_EN</x:v>
      </x:c>
      <x:c r="F122" s="35" t="str">
        <x:v>MENU_NM_EN</x:v>
      </x:c>
      <x:c r="G122" s="35" t="str">
        <x:v>유지</x:v>
      </x:c>
      <x:c r="H122" s="35" t="str">
        <x:v>확실</x:v>
      </x:c>
      <x:c r="I122" s="35" t="str">
        <x:v>VARCHAR(100) | NULL</x:v>
      </x:c>
      <x:c r="J122" s="35" t="str">
        <x:v>VARCHAR(100) | NULL</x:v>
      </x:c>
      <x:c r="K122" s="35" t="str">
        <x:v>동일</x:v>
      </x:c>
      <x:c r="L122" s="35" t="str">
        <x:v>메뉴명_영어</x:v>
      </x:c>
      <x:c r="M122" s="35" t="str">
        <x:v>메뉴명_영어</x:v>
      </x:c>
      <x:c r="N122" s="35" t="str">
        <x:v>낮음</x:v>
      </x:c>
      <x:c r="O122" s="35" t="str">
        <x:v>코드 변경 불필요. 회귀 테스트만 수행</x:v>
      </x:c>
      <x:c r="P122" s="35" t="str">
        <x:v>해당없음</x:v>
      </x:c>
      <x:c r="Q122" s="35" t="str"/>
      <x:c r="R122" s="35" t="str"/>
    </x:row>
    <x:row r="123">
      <x:c r="A123" s="35" t="n">
        <x:v>119</x:v>
      </x:c>
      <x:c r="B123" s="35" t="str">
        <x:v>SYS_MENU</x:v>
      </x:c>
      <x:c r="C123" s="35" t="str">
        <x:v>SYS_MENU</x:v>
      </x:c>
      <x:c r="D123" s="35" t="str">
        <x:v>테이블 유지</x:v>
      </x:c>
      <x:c r="E123" s="35" t="str">
        <x:v>MENU_NM_MN</x:v>
      </x:c>
      <x:c r="F123" s="35" t="str">
        <x:v>MENU_NM_MN</x:v>
      </x:c>
      <x:c r="G123" s="35" t="str">
        <x:v>유지</x:v>
      </x:c>
      <x:c r="H123" s="35" t="str">
        <x:v>확실</x:v>
      </x:c>
      <x:c r="I123" s="35" t="str">
        <x:v>VARCHAR(100) | NULL</x:v>
      </x:c>
      <x:c r="J123" s="35" t="str">
        <x:v>VARCHAR(100) | NULL</x:v>
      </x:c>
      <x:c r="K123" s="35" t="str">
        <x:v>동일</x:v>
      </x:c>
      <x:c r="L123" s="35" t="str">
        <x:v>메뉴명_몽골어</x:v>
      </x:c>
      <x:c r="M123" s="35" t="str">
        <x:v>메뉴명_몽골어</x:v>
      </x:c>
      <x:c r="N123" s="35" t="str">
        <x:v>낮음</x:v>
      </x:c>
      <x:c r="O123" s="35" t="str">
        <x:v>코드 변경 불필요. 회귀 테스트만 수행</x:v>
      </x:c>
      <x:c r="P123" s="35" t="str">
        <x:v>해당없음</x:v>
      </x:c>
      <x:c r="Q123" s="35" t="str"/>
      <x:c r="R123" s="35" t="str"/>
    </x:row>
    <x:row r="124">
      <x:c r="A124" s="35" t="n">
        <x:v>120</x:v>
      </x:c>
      <x:c r="B124" s="35" t="str">
        <x:v>SYS_MENU</x:v>
      </x:c>
      <x:c r="C124" s="35" t="str">
        <x:v>SYS_MENU</x:v>
      </x:c>
      <x:c r="D124" s="35" t="str">
        <x:v>테이블 유지</x:v>
      </x:c>
      <x:c r="E124" s="35" t="str">
        <x:v>MENU_NO</x:v>
      </x:c>
      <x:c r="F124" s="35" t="str">
        <x:v>MENU_NO</x:v>
      </x:c>
      <x:c r="G124" s="35" t="str">
        <x:v>유지</x:v>
      </x:c>
      <x:c r="H124" s="35" t="str">
        <x:v>확실</x:v>
      </x:c>
      <x:c r="I124" s="35" t="str">
        <x:v>VARCHAR(3) | NULL</x:v>
      </x:c>
      <x:c r="J124" s="35" t="str">
        <x:v>VARCHAR(3) | NULL</x:v>
      </x:c>
      <x:c r="K124" s="35" t="str">
        <x:v>동일</x:v>
      </x:c>
      <x:c r="L124" s="35" t="str">
        <x:v>메뉴순서</x:v>
      </x:c>
      <x:c r="M124" s="35" t="str">
        <x:v>메뉴순서</x:v>
      </x:c>
      <x:c r="N124" s="35" t="str">
        <x:v>낮음</x:v>
      </x:c>
      <x:c r="O124" s="35" t="str">
        <x:v>코드 변경 불필요. 회귀 테스트만 수행</x:v>
      </x:c>
      <x:c r="P124" s="35" t="str">
        <x:v>해당없음</x:v>
      </x:c>
      <x:c r="Q124" s="35" t="str"/>
      <x:c r="R124" s="35" t="str"/>
    </x:row>
    <x:row r="125">
      <x:c r="A125" s="35" t="n">
        <x:v>121</x:v>
      </x:c>
      <x:c r="B125" s="35" t="str">
        <x:v>SYS_MENU</x:v>
      </x:c>
      <x:c r="C125" s="35" t="str">
        <x:v>SYS_MENU</x:v>
      </x:c>
      <x:c r="D125" s="35" t="str">
        <x:v>테이블 유지</x:v>
      </x:c>
      <x:c r="E125" s="35" t="str">
        <x:v>MENU_LVL</x:v>
      </x:c>
      <x:c r="F125" s="35" t="str">
        <x:v>MENU_LVL</x:v>
      </x:c>
      <x:c r="G125" s="35" t="str">
        <x:v>유지</x:v>
      </x:c>
      <x:c r="H125" s="35" t="str">
        <x:v>확실</x:v>
      </x:c>
      <x:c r="I125" s="35" t="str">
        <x:v>VARCHAR(1) | NULL</x:v>
      </x:c>
      <x:c r="J125" s="35" t="str">
        <x:v>VARCHAR(1) | NULL</x:v>
      </x:c>
      <x:c r="K125" s="35" t="str">
        <x:v>동일</x:v>
      </x:c>
      <x:c r="L125" s="35" t="str">
        <x:v>메뉴레벨</x:v>
      </x:c>
      <x:c r="M125" s="35" t="str">
        <x:v>메뉴레벨</x:v>
      </x:c>
      <x:c r="N125" s="35" t="str">
        <x:v>낮음</x:v>
      </x:c>
      <x:c r="O125" s="35" t="str">
        <x:v>코드 변경 불필요. 회귀 테스트만 수행</x:v>
      </x:c>
      <x:c r="P125" s="35" t="str">
        <x:v>해당없음</x:v>
      </x:c>
      <x:c r="Q125" s="35" t="str"/>
      <x:c r="R125" s="35" t="str"/>
    </x:row>
    <x:row r="126">
      <x:c r="A126" s="35" t="n">
        <x:v>122</x:v>
      </x:c>
      <x:c r="B126" s="35" t="str">
        <x:v>SYS_MENU</x:v>
      </x:c>
      <x:c r="C126" s="35" t="str">
        <x:v>SYS_MENU</x:v>
      </x:c>
      <x:c r="D126" s="35" t="str">
        <x:v>테이블 유지</x:v>
      </x:c>
      <x:c r="E126" s="35" t="str">
        <x:v>TOP_MENU_CD</x:v>
      </x:c>
      <x:c r="F126" s="35" t="str">
        <x:v>TOP_MENU_CD</x:v>
      </x:c>
      <x:c r="G126" s="35" t="str">
        <x:v>유지</x:v>
      </x:c>
      <x:c r="H126" s="35" t="str">
        <x:v>확실</x:v>
      </x:c>
      <x:c r="I126" s="35" t="str">
        <x:v>VARCHAR(100) | NULL</x:v>
      </x:c>
      <x:c r="J126" s="35" t="str">
        <x:v>VARCHAR(100) | NULL</x:v>
      </x:c>
      <x:c r="K126" s="35" t="str">
        <x:v>동일</x:v>
      </x:c>
      <x:c r="L126" s="35" t="str">
        <x:v>상위 메뉴코드</x:v>
      </x:c>
      <x:c r="M126" s="35" t="str">
        <x:v>상위메뉴코드</x:v>
      </x:c>
      <x:c r="N126" s="35" t="str">
        <x:v>낮음</x:v>
      </x:c>
      <x:c r="O126" s="35" t="str">
        <x:v>코드 변경 불필요. 회귀 테스트만 수행</x:v>
      </x:c>
      <x:c r="P126" s="35" t="str">
        <x:v>해당없음</x:v>
      </x:c>
      <x:c r="Q126" s="35" t="str"/>
      <x:c r="R126" s="35" t="str"/>
    </x:row>
    <x:row r="127">
      <x:c r="A127" s="35" t="n">
        <x:v>123</x:v>
      </x:c>
      <x:c r="B127" s="35" t="str">
        <x:v>SYS_MENU</x:v>
      </x:c>
      <x:c r="C127" s="35" t="str">
        <x:v>SYS_MENU</x:v>
      </x:c>
      <x:c r="D127" s="35" t="str">
        <x:v>테이블 유지</x:v>
      </x:c>
      <x:c r="E127" s="35" t="str">
        <x:v>URL</x:v>
      </x:c>
      <x:c r="F127" s="35" t="str">
        <x:v>URL</x:v>
      </x:c>
      <x:c r="G127" s="35" t="str">
        <x:v>유지</x:v>
      </x:c>
      <x:c r="H127" s="35" t="str">
        <x:v>확실</x:v>
      </x:c>
      <x:c r="I127" s="35" t="str">
        <x:v>VARCHAR(1000) | NULL</x:v>
      </x:c>
      <x:c r="J127" s="35" t="str">
        <x:v>VARCHAR(1000) | NULL</x:v>
      </x:c>
      <x:c r="K127" s="35" t="str">
        <x:v>동일</x:v>
      </x:c>
      <x:c r="L127" s="35" t="str">
        <x:v>URL</x:v>
      </x:c>
      <x:c r="M127" s="35" t="str">
        <x:v>URL</x:v>
      </x:c>
      <x:c r="N127" s="35" t="str">
        <x:v>낮음</x:v>
      </x:c>
      <x:c r="O127" s="35" t="str">
        <x:v>코드 변경 불필요. 회귀 테스트만 수행</x:v>
      </x:c>
      <x:c r="P127" s="35" t="str">
        <x:v>해당없음</x:v>
      </x:c>
      <x:c r="Q127" s="35" t="str"/>
      <x:c r="R127" s="35" t="str"/>
    </x:row>
    <x:row r="128">
      <x:c r="A128" s="35" t="n">
        <x:v>124</x:v>
      </x:c>
      <x:c r="B128" s="35" t="str">
        <x:v>SYS_MENU</x:v>
      </x:c>
      <x:c r="C128" s="35" t="str">
        <x:v>SYS_MENU</x:v>
      </x:c>
      <x:c r="D128" s="35" t="str">
        <x:v>테이블 유지</x:v>
      </x:c>
      <x:c r="E128" s="35" t="str">
        <x:v>USE_YN</x:v>
      </x:c>
      <x:c r="F128" s="35" t="str">
        <x:v>USE_YN</x:v>
      </x:c>
      <x:c r="G128" s="35" t="str">
        <x:v>유지</x:v>
      </x:c>
      <x:c r="H128" s="35" t="str">
        <x:v>확실</x:v>
      </x:c>
      <x:c r="I128" s="35" t="str">
        <x:v>CHAR | NULL</x:v>
      </x:c>
      <x:c r="J128" s="35" t="str">
        <x:v>CHAR | NULL</x:v>
      </x:c>
      <x:c r="K128" s="35" t="str">
        <x:v>동일</x:v>
      </x:c>
      <x:c r="L128" s="35" t="str">
        <x:v>사용여부</x:v>
      </x:c>
      <x:c r="M128" s="35" t="str">
        <x:v>사용여부</x:v>
      </x:c>
      <x:c r="N128" s="35" t="str">
        <x:v>낮음</x:v>
      </x:c>
      <x:c r="O128" s="35" t="str">
        <x:v>코드 변경 불필요. 회귀 테스트만 수행</x:v>
      </x:c>
      <x:c r="P128" s="35" t="str">
        <x:v>해당없음</x:v>
      </x:c>
      <x:c r="Q128" s="35" t="str"/>
      <x:c r="R128" s="35" t="str"/>
    </x:row>
    <x:row r="129">
      <x:c r="A129" s="35" t="n">
        <x:v>125</x:v>
      </x:c>
      <x:c r="B129" s="35" t="str">
        <x:v>SYS_MENU</x:v>
      </x:c>
      <x:c r="C129" s="35" t="str">
        <x:v>SYS_MENU</x:v>
      </x:c>
      <x:c r="D129" s="35" t="str">
        <x:v>테이블 유지</x:v>
      </x:c>
      <x:c r="E129" s="35" t="str">
        <x:v>SYS_CRT_DT</x:v>
      </x:c>
      <x:c r="F129" s="35" t="str">
        <x:v>SYS_GEN_DT</x:v>
      </x:c>
      <x:c r="G129" s="35" t="str">
        <x:v>이름변경</x:v>
      </x:c>
      <x:c r="H129" s="35" t="str">
        <x:v>높음</x:v>
      </x:c>
      <x:c r="I129" s="35" t="str">
        <x:v>DATETIME | NULL</x:v>
      </x:c>
      <x:c r="J129" s="35" t="str">
        <x:v>DATETIME | NULL</x:v>
      </x:c>
      <x:c r="K129" s="35" t="str">
        <x:v>SYS_CRT_DT → SYS_GEN_DT</x:v>
      </x:c>
      <x:c r="L129" s="35" t="str">
        <x:v>작성일자</x:v>
      </x:c>
      <x:c r="M129" s="35" t="str">
        <x:v>시스템생성일시</x:v>
      </x:c>
      <x:c r="N129" s="35" t="str">
        <x:v>중간</x:v>
      </x:c>
      <x:c r="O129" s="35" t="str">
        <x:v>SYS_MENU.SYS_CRT_DT 참조를 SYS_MENU.SYS_GEN_DT로 변경하고 SQL alias/직렬화 명칭 점검</x:v>
      </x:c>
      <x:c r="P129" s="35" t="str">
        <x:v>미착수</x:v>
      </x:c>
      <x:c r="Q129" s="35" t="str"/>
      <x:c r="R129" s="35" t="str"/>
    </x:row>
    <x:row r="130">
      <x:c r="A130" s="35" t="n">
        <x:v>126</x:v>
      </x:c>
      <x:c r="B130" s="35" t="str">
        <x:v>SYS_MENU</x:v>
      </x:c>
      <x:c r="C130" s="35" t="str">
        <x:v>SYS_MENU</x:v>
      </x:c>
      <x:c r="D130" s="35" t="str">
        <x:v>테이블 유지</x:v>
      </x:c>
      <x:c r="E130" s="35" t="str">
        <x:v>SYS_CRT_USR_ID</x:v>
      </x:c>
      <x:c r="F130" s="35" t="str">
        <x:v>SYS_CRT_USR_ID</x:v>
      </x:c>
      <x:c r="G130" s="35" t="str">
        <x:v>유지</x:v>
      </x:c>
      <x:c r="H130" s="35" t="str">
        <x:v>확실</x:v>
      </x:c>
      <x:c r="I130" s="35" t="str">
        <x:v>VARCHAR(32) | NULL</x:v>
      </x:c>
      <x:c r="J130" s="35" t="str">
        <x:v>VARCHAR(32) | NULL</x:v>
      </x:c>
      <x:c r="K130" s="35" t="str">
        <x:v>동일</x:v>
      </x:c>
      <x:c r="L130" s="35" t="str">
        <x:v>작성자ID</x:v>
      </x:c>
      <x:c r="M130" s="35" t="str">
        <x:v>시스템생성자ID</x:v>
      </x:c>
      <x:c r="N130" s="35" t="str">
        <x:v>낮음</x:v>
      </x:c>
      <x:c r="O130" s="35" t="str">
        <x:v>코드 변경 불필요. 회귀 테스트만 수행</x:v>
      </x:c>
      <x:c r="P130" s="35" t="str">
        <x:v>해당없음</x:v>
      </x:c>
      <x:c r="Q130" s="35" t="str"/>
      <x:c r="R130" s="35" t="str"/>
    </x:row>
    <x:row r="131">
      <x:c r="A131" s="35" t="n">
        <x:v>127</x:v>
      </x:c>
      <x:c r="B131" s="35" t="str">
        <x:v>SYS_MENU</x:v>
      </x:c>
      <x:c r="C131" s="35" t="str">
        <x:v>SYS_MENU</x:v>
      </x:c>
      <x:c r="D131" s="35" t="str">
        <x:v>테이블 유지</x:v>
      </x:c>
      <x:c r="E131" s="35" t="str">
        <x:v>SYS_UPD_DT</x:v>
      </x:c>
      <x:c r="F131" s="35" t="str">
        <x:v>SYS_MDFCN_DT</x:v>
      </x:c>
      <x:c r="G131" s="35" t="str">
        <x:v>이름변경</x:v>
      </x:c>
      <x:c r="H131" s="35" t="str">
        <x:v>높음</x:v>
      </x:c>
      <x:c r="I131" s="35" t="str">
        <x:v>DATETIME | NULL</x:v>
      </x:c>
      <x:c r="J131" s="35" t="str">
        <x:v>DATETIME | NULL</x:v>
      </x:c>
      <x:c r="K131" s="35" t="str">
        <x:v>SYS_UPD_DT → SYS_MDFCN_DT</x:v>
      </x:c>
      <x:c r="L131" s="35" t="str">
        <x:v>수정일자</x:v>
      </x:c>
      <x:c r="M131" s="35" t="str">
        <x:v>시스템수정일시</x:v>
      </x:c>
      <x:c r="N131" s="35" t="str">
        <x:v>중간</x:v>
      </x:c>
      <x:c r="O131" s="35" t="str">
        <x:v>SYS_MENU.SYS_UPD_DT 참조를 SYS_MENU.SYS_MDFCN_DT로 변경하고 SQL alias/직렬화 명칭 점검</x:v>
      </x:c>
      <x:c r="P131" s="35" t="str">
        <x:v>미착수</x:v>
      </x:c>
      <x:c r="Q131" s="35" t="str"/>
      <x:c r="R131" s="35" t="str"/>
    </x:row>
    <x:row r="132">
      <x:c r="A132" s="35" t="n">
        <x:v>128</x:v>
      </x:c>
      <x:c r="B132" s="35" t="str">
        <x:v>SYS_MENU</x:v>
      </x:c>
      <x:c r="C132" s="35" t="str">
        <x:v>SYS_MENU</x:v>
      </x:c>
      <x:c r="D132" s="35" t="str">
        <x:v>테이블 유지</x:v>
      </x:c>
      <x:c r="E132" s="35" t="str">
        <x:v>SYS_UPD_USR_ID</x:v>
      </x:c>
      <x:c r="F132" s="35" t="str">
        <x:v>SYS_MDFR_ID</x:v>
      </x:c>
      <x:c r="G132" s="35" t="str">
        <x:v>이름+정의 변경</x:v>
      </x:c>
      <x:c r="H132" s="35" t="str">
        <x:v>높음</x:v>
      </x:c>
      <x:c r="I132" s="35" t="str">
        <x:v>VARCHAR(32) | NULL</x:v>
      </x:c>
      <x:c r="J132" s="35" t="str">
        <x:v>VARCHAR(20) | NULL</x:v>
      </x:c>
      <x:c r="K132" s="35" t="str">
        <x:v>VARCHAR(32) → VARCHAR(20)</x:v>
      </x:c>
      <x:c r="L132" s="35" t="str">
        <x:v>수정자ID</x:v>
      </x:c>
      <x:c r="M132" s="35" t="str">
        <x:v>시스템수정자ID</x:v>
      </x:c>
      <x:c r="N132" s="35" t="str">
        <x:v>낮음</x:v>
      </x:c>
      <x:c r="O132" s="35" t="str">
        <x:v>코드 변경 불필요. 회귀 테스트만 수행</x:v>
      </x:c>
      <x:c r="P132" s="35" t="str">
        <x:v>미착수</x:v>
      </x:c>
      <x:c r="Q132" s="35" t="str"/>
      <x:c r="R132" s="35" t="str"/>
    </x:row>
    <x:row r="133">
      <x:c r="A133" s="35" t="n">
        <x:v>129</x:v>
      </x:c>
      <x:c r="B133" s="35" t="str">
        <x:v>SYS_MENU</x:v>
      </x:c>
      <x:c r="C133" s="35" t="str">
        <x:v>SYS_MENU</x:v>
      </x:c>
      <x:c r="D133" s="35" t="str">
        <x:v>테이블 유지</x:v>
      </x:c>
      <x:c r="E133" s="35" t="str">
        <x:v>MENU_SEQ</x:v>
      </x:c>
      <x:c r="F133" s="35" t="str">
        <x:v>MENU_UNQ_NO</x:v>
      </x:c>
      <x:c r="G133" s="35" t="str">
        <x:v>이름+정의 변경</x:v>
      </x:c>
      <x:c r="H133" s="35" t="str">
        <x:v>높음</x:v>
      </x:c>
      <x:c r="I133" s="35" t="str">
        <x:v>INT | NULL | AUTO_INCREMENT</x:v>
      </x:c>
      <x:c r="J133" s="35" t="str">
        <x:v>INT | NULL</x:v>
      </x:c>
      <x:c r="K133" s="35" t="str">
        <x:v>AUTO_INCREMENT Y → N</x:v>
      </x:c>
      <x:c r="L133" s="35" t="str">
        <x:v>메뉴고유번호</x:v>
      </x:c>
      <x:c r="M133" s="35" t="str">
        <x:v>메뉴고유번호</x:v>
      </x:c>
      <x:c r="N133" s="35" t="str">
        <x:v>낮음</x:v>
      </x:c>
      <x:c r="O133" s="35" t="str">
        <x:v>코드 변경 불필요. 회귀 테스트만 수행</x:v>
      </x:c>
      <x:c r="P133" s="35" t="str">
        <x:v>미착수</x:v>
      </x:c>
      <x:c r="Q133" s="35" t="str"/>
      <x:c r="R133" s="35" t="str"/>
    </x:row>
    <x:row r="134">
      <x:c r="A134" s="35" t="n">
        <x:v>130</x:v>
      </x:c>
      <x:c r="B134" s="35" t="str">
        <x:v>SYS_MENU</x:v>
      </x:c>
      <x:c r="C134" s="35" t="str">
        <x:v>SYS_MENU</x:v>
      </x:c>
      <x:c r="D134" s="35" t="str">
        <x:v>테이블 유지</x:v>
      </x:c>
      <x:c r="E134" s="35" t="str">
        <x:v>MENU_ICON</x:v>
      </x:c>
      <x:c r="F134" s="35" t="str">
        <x:v>MENU_ICON</x:v>
      </x:c>
      <x:c r="G134" s="35" t="str">
        <x:v>유지</x:v>
      </x:c>
      <x:c r="H134" s="35" t="str">
        <x:v>확실</x:v>
      </x:c>
      <x:c r="I134" s="35" t="str">
        <x:v>VARCHAR(255) | NULL</x:v>
      </x:c>
      <x:c r="J134" s="35" t="str">
        <x:v>VARCHAR(255) | NULL</x:v>
      </x:c>
      <x:c r="K134" s="35" t="str">
        <x:v>동일</x:v>
      </x:c>
      <x:c r="L134" s="35" t="str"/>
      <x:c r="M134" s="35" t="str">
        <x:v>메뉴아이콘</x:v>
      </x:c>
      <x:c r="N134" s="35" t="str">
        <x:v>낮음</x:v>
      </x:c>
      <x:c r="O134" s="35" t="str">
        <x:v>코드 변경 불필요. 회귀 테스트만 수행</x:v>
      </x:c>
      <x:c r="P134" s="35" t="str">
        <x:v>해당없음</x:v>
      </x:c>
      <x:c r="Q134" s="35" t="str"/>
      <x:c r="R134" s="35" t="str"/>
    </x:row>
    <x:row r="135">
      <x:c r="A135" s="35" t="n">
        <x:v>131</x:v>
      </x:c>
      <x:c r="B135" s="35" t="str">
        <x:v>SYS_MENU</x:v>
      </x:c>
      <x:c r="C135" s="35" t="str">
        <x:v>SYS_MENU</x:v>
      </x:c>
      <x:c r="D135" s="35" t="str">
        <x:v>테이블 유지</x:v>
      </x:c>
      <x:c r="E135" s="35" t="str">
        <x:v>PRGM_URL</x:v>
      </x:c>
      <x:c r="F135" s="35" t="str">
        <x:v>PRGM_URL</x:v>
      </x:c>
      <x:c r="G135" s="35" t="str">
        <x:v>유지</x:v>
      </x:c>
      <x:c r="H135" s="35" t="str">
        <x:v>확실</x:v>
      </x:c>
      <x:c r="I135" s="35" t="str">
        <x:v>VARCHAR(255) | NULL</x:v>
      </x:c>
      <x:c r="J135" s="35" t="str">
        <x:v>VARCHAR(255) | NULL</x:v>
      </x:c>
      <x:c r="K135" s="35" t="str">
        <x:v>동일</x:v>
      </x:c>
      <x:c r="L135" s="35" t="str">
        <x:v>API 경로</x:v>
      </x:c>
      <x:c r="M135" s="35" t="str">
        <x:v>API경로</x:v>
      </x:c>
      <x:c r="N135" s="35" t="str">
        <x:v>낮음</x:v>
      </x:c>
      <x:c r="O135" s="35" t="str">
        <x:v>코드 변경 불필요. 회귀 테스트만 수행</x:v>
      </x:c>
      <x:c r="P135" s="35" t="str">
        <x:v>해당없음</x:v>
      </x:c>
      <x:c r="Q135" s="35" t="str"/>
      <x:c r="R135" s="35" t="str"/>
    </x:row>
    <x:row r="136">
      <x:c r="A136" s="35" t="n">
        <x:v>132</x:v>
      </x:c>
      <x:c r="B136" s="35" t="str">
        <x:v>SYS_OFFC</x:v>
      </x:c>
      <x:c r="C136" s="35" t="str">
        <x:v>SYS_INST</x:v>
      </x:c>
      <x:c r="D136" s="35" t="str">
        <x:v>테이블명 변경/대체</x:v>
      </x:c>
      <x:c r="E136" s="35" t="str">
        <x:v>TOP_OFFC_CD</x:v>
      </x:c>
      <x:c r="F136" s="35" t="str">
        <x:v>UP_INST_CD</x:v>
      </x:c>
      <x:c r="G136" s="35" t="str">
        <x:v>이름변경</x:v>
      </x:c>
      <x:c r="H136" s="35" t="str">
        <x:v>높음</x:v>
      </x:c>
      <x:c r="I136" s="35" t="str">
        <x:v>VARCHAR(7) | NOT NULL</x:v>
      </x:c>
      <x:c r="J136" s="35" t="str">
        <x:v>VARCHAR(7) | NOT NULL</x:v>
      </x:c>
      <x:c r="K136" s="35" t="str">
        <x:v>TOP_OFFC_CD → UP_INST_CD</x:v>
      </x:c>
      <x:c r="L136" s="35" t="str">
        <x:v>최상위 코드</x:v>
      </x:c>
      <x:c r="M136" s="35" t="str">
        <x:v>최상위코드</x:v>
      </x:c>
      <x:c r="N136" s="35" t="str">
        <x:v>중간</x:v>
      </x:c>
      <x:c r="O136" s="35" t="str">
        <x:v>SYS_OFFC.TOP_OFFC_CD 참조를 SYS_INST.UP_INST_CD로 변경하고 SQL alias/직렬화 명칭 점검; 테이블 참조 SYS_OFFC → SYS_INST 변경</x:v>
      </x:c>
      <x:c r="P136" s="35" t="str">
        <x:v>미착수</x:v>
      </x:c>
      <x:c r="Q136" s="35" t="str"/>
      <x:c r="R136" s="35" t="str"/>
    </x:row>
    <x:row r="137">
      <x:c r="A137" s="35" t="n">
        <x:v>133</x:v>
      </x:c>
      <x:c r="B137" s="35" t="str">
        <x:v>SYS_OFFC</x:v>
      </x:c>
      <x:c r="C137" s="35" t="str">
        <x:v>SYS_INST</x:v>
      </x:c>
      <x:c r="D137" s="35" t="str">
        <x:v>테이블명 변경/대체</x:v>
      </x:c>
      <x:c r="E137" s="35" t="str">
        <x:v>OFFC_NM</x:v>
      </x:c>
      <x:c r="F137" s="35" t="str">
        <x:v>INST_NM</x:v>
      </x:c>
      <x:c r="G137" s="35" t="str">
        <x:v>이름변경</x:v>
      </x:c>
      <x:c r="H137" s="35" t="str">
        <x:v>높음</x:v>
      </x:c>
      <x:c r="I137" s="35" t="str">
        <x:v>VARCHAR(100) | NOT NULL</x:v>
      </x:c>
      <x:c r="J137" s="35" t="str">
        <x:v>VARCHAR(100) | NOT NULL</x:v>
      </x:c>
      <x:c r="K137" s="35" t="str">
        <x:v>OFFC_NM → INST_NM</x:v>
      </x:c>
      <x:c r="L137" s="35" t="str">
        <x:v>기관명</x:v>
      </x:c>
      <x:c r="M137" s="35" t="str">
        <x:v>기관명</x:v>
      </x:c>
      <x:c r="N137" s="35" t="str">
        <x:v>중간</x:v>
      </x:c>
      <x:c r="O137" s="35" t="str">
        <x:v>SYS_OFFC.OFFC_NM 참조를 SYS_INST.INST_NM로 변경하고 SQL alias/직렬화 명칭 점검; 테이블 참조 SYS_OFFC → SYS_INST 변경</x:v>
      </x:c>
      <x:c r="P137" s="35" t="str">
        <x:v>미착수</x:v>
      </x:c>
      <x:c r="Q137" s="35" t="str"/>
      <x:c r="R137" s="35" t="str"/>
    </x:row>
    <x:row r="138">
      <x:c r="A138" s="35" t="n">
        <x:v>134</x:v>
      </x:c>
      <x:c r="B138" s="35" t="str">
        <x:v>SYS_OFFC</x:v>
      </x:c>
      <x:c r="C138" s="35" t="str">
        <x:v>SYS_INST</x:v>
      </x:c>
      <x:c r="D138" s="35" t="str">
        <x:v>테이블명 변경/대체</x:v>
      </x:c>
      <x:c r="E138" s="35" t="str">
        <x:v>OFFC_CD</x:v>
      </x:c>
      <x:c r="F138" s="35" t="str">
        <x:v>INST_CD</x:v>
      </x:c>
      <x:c r="G138" s="35" t="str">
        <x:v>이름변경</x:v>
      </x:c>
      <x:c r="H138" s="35" t="str">
        <x:v>높음</x:v>
      </x:c>
      <x:c r="I138" s="35" t="str">
        <x:v>VARCHAR(7) | NOT NULL | PK</x:v>
      </x:c>
      <x:c r="J138" s="35" t="str">
        <x:v>VARCHAR(7) | NOT NULL | PK</x:v>
      </x:c>
      <x:c r="K138" s="35" t="str">
        <x:v>OFFC_CD → INST_CD</x:v>
      </x:c>
      <x:c r="L138" s="35" t="str">
        <x:v>기관코드</x:v>
      </x:c>
      <x:c r="M138" s="35" t="str">
        <x:v>기관코드</x:v>
      </x:c>
      <x:c r="N138" s="35" t="str">
        <x:v>중간</x:v>
      </x:c>
      <x:c r="O138" s="35" t="str">
        <x:v>SYS_OFFC.OFFC_CD 참조를 SYS_INST.INST_CD로 변경하고 SQL alias/직렬화 명칭 점검; 테이블 참조 SYS_OFFC → SYS_INST 변경</x:v>
      </x:c>
      <x:c r="P138" s="35" t="str">
        <x:v>미착수</x:v>
      </x:c>
      <x:c r="Q138" s="35" t="str"/>
      <x:c r="R138" s="35" t="str"/>
    </x:row>
    <x:row r="139">
      <x:c r="A139" s="35" t="n">
        <x:v>135</x:v>
      </x:c>
      <x:c r="B139" s="35" t="str">
        <x:v>SYS_OFFC</x:v>
      </x:c>
      <x:c r="C139" s="35" t="str">
        <x:v>SYS_INST</x:v>
      </x:c>
      <x:c r="D139" s="35" t="str">
        <x:v>테이블명 변경/대체</x:v>
      </x:c>
      <x:c r="E139" s="35" t="str">
        <x:v>OFFC_TYPE</x:v>
      </x:c>
      <x:c r="F139" s="35" t="str">
        <x:v>INST_SE_CD</x:v>
      </x:c>
      <x:c r="G139" s="35" t="str">
        <x:v>이름+정의 변경</x:v>
      </x:c>
      <x:c r="H139" s="35" t="str">
        <x:v>중간</x:v>
      </x:c>
      <x:c r="I139" s="35" t="str">
        <x:v>VARCHAR(100) | NULL</x:v>
      </x:c>
      <x:c r="J139" s="35" t="str">
        <x:v>VARCHAR(1) | NULL</x:v>
      </x:c>
      <x:c r="K139" s="35" t="str">
        <x:v>VARCHAR(100) → VARCHAR(1)</x:v>
      </x:c>
      <x:c r="L139" s="35" t="str">
        <x:v>기관유형</x:v>
      </x:c>
      <x:c r="M139" s="35" t="str">
        <x:v>기관구분코드</x:v>
      </x:c>
      <x:c r="N139" s="35" t="str">
        <x:v>중간</x:v>
      </x:c>
      <x:c r="O139" s="35" t="str">
        <x:v>코드 변경 불필요. 회귀 테스트만 수행; 테이블 참조 SYS_OFFC → SYS_INST 변경</x:v>
      </x:c>
      <x:c r="P139" s="35" t="str">
        <x:v>미착수</x:v>
      </x:c>
      <x:c r="Q139" s="35" t="str"/>
      <x:c r="R139" s="35" t="str"/>
    </x:row>
    <x:row r="140">
      <x:c r="A140" s="35" t="n">
        <x:v>136</x:v>
      </x:c>
      <x:c r="B140" s="35" t="str">
        <x:v>SYS_OFFC</x:v>
      </x:c>
      <x:c r="C140" s="35" t="str">
        <x:v>SYS_INST</x:v>
      </x:c>
      <x:c r="D140" s="35" t="str">
        <x:v>테이블명 변경/대체</x:v>
      </x:c>
      <x:c r="E140" s="35" t="str">
        <x:v>OFFC_TYPE_CD</x:v>
      </x:c>
      <x:c r="F140" s="35" t="str">
        <x:v>INST_TYPE_CD</x:v>
      </x:c>
      <x:c r="G140" s="35" t="str">
        <x:v>이름변경</x:v>
      </x:c>
      <x:c r="H140" s="35" t="str">
        <x:v>높음</x:v>
      </x:c>
      <x:c r="I140" s="35" t="str">
        <x:v>VARCHAR(4) | NULL</x:v>
      </x:c>
      <x:c r="J140" s="35" t="str">
        <x:v>VARCHAR(4) | NULL</x:v>
      </x:c>
      <x:c r="K140" s="35" t="str">
        <x:v>OFFC_TYPE_CD → INST_TYPE_CD</x:v>
      </x:c>
      <x:c r="L140" s="35" t="str">
        <x:v>등록관청 구분부호</x:v>
      </x:c>
      <x:c r="M140" s="35" t="str">
        <x:v>기관유형코드</x:v>
      </x:c>
      <x:c r="N140" s="35" t="str">
        <x:v>중간</x:v>
      </x:c>
      <x:c r="O140" s="35" t="str">
        <x:v>SYS_OFFC.OFFC_TYPE_CD 참조를 SYS_INST.INST_TYPE_CD로 변경하고 SQL alias/직렬화 명칭 점검; 테이블 참조 SYS_OFFC → SYS_INST 변경</x:v>
      </x:c>
      <x:c r="P140" s="35" t="str">
        <x:v>미착수</x:v>
      </x:c>
      <x:c r="Q140" s="35" t="str"/>
      <x:c r="R140" s="35" t="str"/>
    </x:row>
    <x:row r="141">
      <x:c r="A141" s="35" t="n">
        <x:v>137</x:v>
      </x:c>
      <x:c r="B141" s="35" t="str">
        <x:v>SYS_OFFC</x:v>
      </x:c>
      <x:c r="C141" s="35" t="str">
        <x:v>SYS_INST</x:v>
      </x:c>
      <x:c r="D141" s="35" t="str">
        <x:v>테이블명 변경/대체</x:v>
      </x:c>
      <x:c r="E141" s="35" t="str">
        <x:v>SYS_CRT_USR_ID</x:v>
      </x:c>
      <x:c r="F141" s="35" t="str">
        <x:v>SYS_CRT_USR_ID</x:v>
      </x:c>
      <x:c r="G141" s="35" t="str">
        <x:v>유지</x:v>
      </x:c>
      <x:c r="H141" s="35" t="str">
        <x:v>확실</x:v>
      </x:c>
      <x:c r="I141" s="35" t="str">
        <x:v>VARCHAR(50) | NULL</x:v>
      </x:c>
      <x:c r="J141" s="35" t="str">
        <x:v>VARCHAR(50) | NULL</x:v>
      </x:c>
      <x:c r="K141" s="35" t="str">
        <x:v>동일</x:v>
      </x:c>
      <x:c r="L141" s="35" t="str">
        <x:v>생성자ID</x:v>
      </x:c>
      <x:c r="M141" s="35" t="str">
        <x:v>시스템생성자ID</x:v>
      </x:c>
      <x:c r="N141" s="35" t="str">
        <x:v>중간</x:v>
      </x:c>
      <x:c r="O141" s="35" t="str">
        <x:v>코드 변경 불필요. 회귀 테스트만 수행; 테이블 참조 SYS_OFFC → SYS_INST 변경</x:v>
      </x:c>
      <x:c r="P141" s="35" t="str">
        <x:v>해당없음</x:v>
      </x:c>
      <x:c r="Q141" s="35" t="str"/>
      <x:c r="R141" s="35" t="str"/>
    </x:row>
    <x:row r="142">
      <x:c r="A142" s="35" t="n">
        <x:v>138</x:v>
      </x:c>
      <x:c r="B142" s="35" t="str">
        <x:v>SYS_OFFC</x:v>
      </x:c>
      <x:c r="C142" s="35" t="str">
        <x:v>SYS_INST</x:v>
      </x:c>
      <x:c r="D142" s="35" t="str">
        <x:v>테이블명 변경/대체</x:v>
      </x:c>
      <x:c r="E142" s="35" t="str">
        <x:v>SYS_CRT_DT</x:v>
      </x:c>
      <x:c r="F142" s="35" t="str">
        <x:v>SYS_GEN_DT</x:v>
      </x:c>
      <x:c r="G142" s="35" t="str">
        <x:v>이름변경</x:v>
      </x:c>
      <x:c r="H142" s="35" t="str">
        <x:v>높음</x:v>
      </x:c>
      <x:c r="I142" s="35" t="str">
        <x:v>DATETIME | NULL</x:v>
      </x:c>
      <x:c r="J142" s="35" t="str">
        <x:v>DATETIME | NULL</x:v>
      </x:c>
      <x:c r="K142" s="35" t="str">
        <x:v>SYS_CRT_DT → SYS_GEN_DT</x:v>
      </x:c>
      <x:c r="L142" s="35" t="str">
        <x:v>생성일자</x:v>
      </x:c>
      <x:c r="M142" s="35" t="str">
        <x:v>시스템생성일시</x:v>
      </x:c>
      <x:c r="N142" s="35" t="str">
        <x:v>중간</x:v>
      </x:c>
      <x:c r="O142" s="35" t="str">
        <x:v>SYS_OFFC.SYS_CRT_DT 참조를 SYS_INST.SYS_GEN_DT로 변경하고 SQL alias/직렬화 명칭 점검; 테이블 참조 SYS_OFFC → SYS_INST 변경</x:v>
      </x:c>
      <x:c r="P142" s="35" t="str">
        <x:v>미착수</x:v>
      </x:c>
      <x:c r="Q142" s="35" t="str"/>
      <x:c r="R142" s="35" t="str"/>
    </x:row>
    <x:row r="143">
      <x:c r="A143" s="35" t="n">
        <x:v>139</x:v>
      </x:c>
      <x:c r="B143" s="35" t="str">
        <x:v>SYS_OFFC</x:v>
      </x:c>
      <x:c r="C143" s="35" t="str">
        <x:v>SYS_INST</x:v>
      </x:c>
      <x:c r="D143" s="35" t="str">
        <x:v>테이블명 변경/대체</x:v>
      </x:c>
      <x:c r="E143" s="35" t="str">
        <x:v>SYS_UPD_USR_ID</x:v>
      </x:c>
      <x:c r="F143" s="35" t="str">
        <x:v>SYS_MDFR_ID</x:v>
      </x:c>
      <x:c r="G143" s="35" t="str">
        <x:v>이름+정의 변경</x:v>
      </x:c>
      <x:c r="H143" s="35" t="str">
        <x:v>높음</x:v>
      </x:c>
      <x:c r="I143" s="35" t="str">
        <x:v>VARCHAR(50) | NULL</x:v>
      </x:c>
      <x:c r="J143" s="35" t="str">
        <x:v>VARCHAR(20) | NULL</x:v>
      </x:c>
      <x:c r="K143" s="35" t="str">
        <x:v>VARCHAR(50) → VARCHAR(20)</x:v>
      </x:c>
      <x:c r="L143" s="35" t="str">
        <x:v>수정자ID</x:v>
      </x:c>
      <x:c r="M143" s="35" t="str">
        <x:v>시스템수정자ID</x:v>
      </x:c>
      <x:c r="N143" s="35" t="str">
        <x:v>중간</x:v>
      </x:c>
      <x:c r="O143" s="35" t="str">
        <x:v>코드 변경 불필요. 회귀 테스트만 수행; 테이블 참조 SYS_OFFC → SYS_INST 변경</x:v>
      </x:c>
      <x:c r="P143" s="35" t="str">
        <x:v>미착수</x:v>
      </x:c>
      <x:c r="Q143" s="35" t="str"/>
      <x:c r="R143" s="35" t="str"/>
    </x:row>
    <x:row r="144">
      <x:c r="A144" s="35" t="n">
        <x:v>140</x:v>
      </x:c>
      <x:c r="B144" s="35" t="str">
        <x:v>SYS_OFFC</x:v>
      </x:c>
      <x:c r="C144" s="35" t="str">
        <x:v>SYS_INST</x:v>
      </x:c>
      <x:c r="D144" s="35" t="str">
        <x:v>테이블명 변경/대체</x:v>
      </x:c>
      <x:c r="E144" s="35" t="str">
        <x:v>SYS_UPD_DT</x:v>
      </x:c>
      <x:c r="F144" s="35" t="str">
        <x:v>SYS_MDFCN_DT</x:v>
      </x:c>
      <x:c r="G144" s="35" t="str">
        <x:v>이름변경</x:v>
      </x:c>
      <x:c r="H144" s="35" t="str">
        <x:v>높음</x:v>
      </x:c>
      <x:c r="I144" s="35" t="str">
        <x:v>DATETIME | NULL</x:v>
      </x:c>
      <x:c r="J144" s="35" t="str">
        <x:v>DATETIME | NULL</x:v>
      </x:c>
      <x:c r="K144" s="35" t="str">
        <x:v>SYS_UPD_DT → SYS_MDFCN_DT</x:v>
      </x:c>
      <x:c r="L144" s="35" t="str">
        <x:v>수정일자</x:v>
      </x:c>
      <x:c r="M144" s="35" t="str">
        <x:v>시스템수정일시</x:v>
      </x:c>
      <x:c r="N144" s="35" t="str">
        <x:v>중간</x:v>
      </x:c>
      <x:c r="O144" s="35" t="str">
        <x:v>SYS_OFFC.SYS_UPD_DT 참조를 SYS_INST.SYS_MDFCN_DT로 변경하고 SQL alias/직렬화 명칭 점검; 테이블 참조 SYS_OFFC → SYS_INST 변경</x:v>
      </x:c>
      <x:c r="P144" s="35" t="str">
        <x:v>미착수</x:v>
      </x:c>
      <x:c r="Q144" s="35" t="str"/>
      <x:c r="R144" s="35" t="str"/>
    </x:row>
    <x:row r="145">
      <x:c r="A145" s="35" t="n">
        <x:v>141</x:v>
      </x:c>
      <x:c r="B145" s="35" t="str">
        <x:v>SYS_OFFC</x:v>
      </x:c>
      <x:c r="C145" s="35" t="str">
        <x:v>SYS_INST</x:v>
      </x:c>
      <x:c r="D145" s="35" t="str">
        <x:v>테이블명 변경/대체</x:v>
      </x:c>
      <x:c r="E145" s="35" t="str"/>
      <x:c r="F145" s="35" t="str">
        <x:v>INST_RBPRSN</x:v>
      </x:c>
      <x:c r="G145" s="35" t="str">
        <x:v>컬럼 추가</x:v>
      </x:c>
      <x:c r="H145" s="35" t="str">
        <x:v>확실</x:v>
      </x:c>
      <x:c r="I145" s="35" t="str"/>
      <x:c r="J145" s="35" t="str">
        <x:v>VARCHAR(100) | NULL</x:v>
      </x:c>
      <x:c r="K145" s="35" t="str">
        <x:v>VARCHAR(100) | NULL</x:v>
      </x:c>
      <x:c r="L145" s="35" t="str"/>
      <x:c r="M145" s="35" t="str">
        <x:v>기관책임자</x:v>
      </x:c>
      <x:c r="N145" s="35" t="str">
        <x:v>중간</x:v>
      </x:c>
      <x:c r="O145" s="35" t="str">
        <x:v>SYS_INST.INST_RBPRSN 필드를 Entity/DTO/입력·조회 SQL에 반영하고 기존 데이터 채움 정책 확인; 테이블 참조 SYS_OFFC → SYS_INST 변경</x:v>
      </x:c>
      <x:c r="P145" s="35" t="str">
        <x:v>미착수</x:v>
      </x:c>
      <x:c r="Q145" s="35" t="str"/>
      <x:c r="R145" s="35" t="str"/>
    </x:row>
    <x:row r="146">
      <x:c r="A146" s="35" t="n">
        <x:v>142</x:v>
      </x:c>
      <x:c r="B146" s="35" t="str">
        <x:v>SYS_OFFC</x:v>
      </x:c>
      <x:c r="C146" s="35" t="str">
        <x:v>SYS_INST</x:v>
      </x:c>
      <x:c r="D146" s="35" t="str">
        <x:v>테이블명 변경/대체</x:v>
      </x:c>
      <x:c r="E146" s="35" t="str"/>
      <x:c r="F146" s="35" t="str">
        <x:v>TELNO</x:v>
      </x:c>
      <x:c r="G146" s="35" t="str">
        <x:v>컬럼 추가</x:v>
      </x:c>
      <x:c r="H146" s="35" t="str">
        <x:v>확실</x:v>
      </x:c>
      <x:c r="I146" s="35" t="str"/>
      <x:c r="J146" s="35" t="str">
        <x:v>VARCHAR(100) | NULL</x:v>
      </x:c>
      <x:c r="K146" s="35" t="str">
        <x:v>VARCHAR(100) | NULL</x:v>
      </x:c>
      <x:c r="L146" s="35" t="str"/>
      <x:c r="M146" s="35" t="str">
        <x:v>전화번호</x:v>
      </x:c>
      <x:c r="N146" s="35" t="str">
        <x:v>중간</x:v>
      </x:c>
      <x:c r="O146" s="35" t="str">
        <x:v>SYS_INST.TELNO 필드를 Entity/DTO/입력·조회 SQL에 반영하고 기존 데이터 채움 정책 확인; 테이블 참조 SYS_OFFC → SYS_INST 변경</x:v>
      </x:c>
      <x:c r="P146" s="35" t="str">
        <x:v>미착수</x:v>
      </x:c>
      <x:c r="Q146" s="35" t="str"/>
      <x:c r="R146" s="35" t="str"/>
    </x:row>
    <x:row r="147">
      <x:c r="A147" s="35" t="n">
        <x:v>143</x:v>
      </x:c>
      <x:c r="B147" s="35" t="str">
        <x:v>SYS_OFFC</x:v>
      </x:c>
      <x:c r="C147" s="35" t="str">
        <x:v>SYS_INST</x:v>
      </x:c>
      <x:c r="D147" s="35" t="str">
        <x:v>테이블명 변경/대체</x:v>
      </x:c>
      <x:c r="E147" s="35" t="str"/>
      <x:c r="F147" s="35" t="str">
        <x:v>EML</x:v>
      </x:c>
      <x:c r="G147" s="35" t="str">
        <x:v>컬럼 추가</x:v>
      </x:c>
      <x:c r="H147" s="35" t="str">
        <x:v>확실</x:v>
      </x:c>
      <x:c r="I147" s="35" t="str"/>
      <x:c r="J147" s="35" t="str">
        <x:v>VARCHAR(100) | NULL</x:v>
      </x:c>
      <x:c r="K147" s="35" t="str">
        <x:v>VARCHAR(100) | NULL</x:v>
      </x:c>
      <x:c r="L147" s="35" t="str"/>
      <x:c r="M147" s="35" t="str">
        <x:v>이메일</x:v>
      </x:c>
      <x:c r="N147" s="35" t="str">
        <x:v>중간</x:v>
      </x:c>
      <x:c r="O147" s="35" t="str">
        <x:v>SYS_INST.EML 필드를 Entity/DTO/입력·조회 SQL에 반영하고 기존 데이터 채움 정책 확인; 테이블 참조 SYS_OFFC → SYS_INST 변경</x:v>
      </x:c>
      <x:c r="P147" s="35" t="str">
        <x:v>미착수</x:v>
      </x:c>
      <x:c r="Q147" s="35" t="str"/>
      <x:c r="R147" s="35" t="str"/>
    </x:row>
    <x:row r="148">
      <x:c r="A148" s="35" t="n">
        <x:v>144</x:v>
      </x:c>
      <x:c r="B148" s="35" t="str">
        <x:v>SYS_OFFC</x:v>
      </x:c>
      <x:c r="C148" s="35" t="str">
        <x:v>SYS_INST</x:v>
      </x:c>
      <x:c r="D148" s="35" t="str">
        <x:v>테이블명 변경/대체</x:v>
      </x:c>
      <x:c r="E148" s="35" t="str"/>
      <x:c r="F148" s="35" t="str">
        <x:v>OPER_HR</x:v>
      </x:c>
      <x:c r="G148" s="35" t="str">
        <x:v>컬럼 추가</x:v>
      </x:c>
      <x:c r="H148" s="35" t="str">
        <x:v>확실</x:v>
      </x:c>
      <x:c r="I148" s="35" t="str"/>
      <x:c r="J148" s="35" t="str">
        <x:v>VARCHAR(100) | NULL</x:v>
      </x:c>
      <x:c r="K148" s="35" t="str">
        <x:v>VARCHAR(100) | NULL</x:v>
      </x:c>
      <x:c r="L148" s="35" t="str"/>
      <x:c r="M148" s="35" t="str">
        <x:v>운영시간</x:v>
      </x:c>
      <x:c r="N148" s="35" t="str">
        <x:v>중간</x:v>
      </x:c>
      <x:c r="O148" s="35" t="str">
        <x:v>SYS_INST.OPER_HR 필드를 Entity/DTO/입력·조회 SQL에 반영하고 기존 데이터 채움 정책 확인; 테이블 참조 SYS_OFFC → SYS_INST 변경</x:v>
      </x:c>
      <x:c r="P148" s="35" t="str">
        <x:v>미착수</x:v>
      </x:c>
      <x:c r="Q148" s="35" t="str"/>
      <x:c r="R148" s="35" t="str"/>
    </x:row>
    <x:row r="149">
      <x:c r="A149" s="35" t="n">
        <x:v>145</x:v>
      </x:c>
      <x:c r="B149" s="35" t="str">
        <x:v>SYS_OFFC</x:v>
      </x:c>
      <x:c r="C149" s="35" t="str">
        <x:v>SYS_INST</x:v>
      </x:c>
      <x:c r="D149" s="35" t="str">
        <x:v>테이블명 변경/대체</x:v>
      </x:c>
      <x:c r="E149" s="35" t="str"/>
      <x:c r="F149" s="35" t="str">
        <x:v>AIMG_CD</x:v>
      </x:c>
      <x:c r="G149" s="35" t="str">
        <x:v>컬럼 추가</x:v>
      </x:c>
      <x:c r="H149" s="35" t="str">
        <x:v>확실</x:v>
      </x:c>
      <x:c r="I149" s="35" t="str"/>
      <x:c r="J149" s="35" t="str">
        <x:v>VARCHAR(2) | NULL</x:v>
      </x:c>
      <x:c r="K149" s="35" t="str">
        <x:v>VARCHAR(2) | NULL</x:v>
      </x:c>
      <x:c r="L149" s="35" t="str"/>
      <x:c r="M149" s="35" t="str">
        <x:v>아이막코드</x:v>
      </x:c>
      <x:c r="N149" s="35" t="str">
        <x:v>중간</x:v>
      </x:c>
      <x:c r="O149" s="35" t="str">
        <x:v>SYS_INST.AIMG_CD 필드를 Entity/DTO/입력·조회 SQL에 반영하고 기존 데이터 채움 정책 확인; 테이블 참조 SYS_OFFC → SYS_INST 변경</x:v>
      </x:c>
      <x:c r="P149" s="35" t="str">
        <x:v>미착수</x:v>
      </x:c>
      <x:c r="Q149" s="35" t="str"/>
      <x:c r="R149" s="35" t="str"/>
    </x:row>
    <x:row r="150">
      <x:c r="A150" s="35" t="n">
        <x:v>146</x:v>
      </x:c>
      <x:c r="B150" s="35" t="str">
        <x:v>SYS_OFFC</x:v>
      </x:c>
      <x:c r="C150" s="35" t="str">
        <x:v>SYS_INST</x:v>
      </x:c>
      <x:c r="D150" s="35" t="str">
        <x:v>테이블명 변경/대체</x:v>
      </x:c>
      <x:c r="E150" s="35" t="str"/>
      <x:c r="F150" s="35" t="str">
        <x:v>ADDR</x:v>
      </x:c>
      <x:c r="G150" s="35" t="str">
        <x:v>컬럼 추가</x:v>
      </x:c>
      <x:c r="H150" s="35" t="str">
        <x:v>확실</x:v>
      </x:c>
      <x:c r="I150" s="35" t="str"/>
      <x:c r="J150" s="35" t="str">
        <x:v>VARCHAR(100) | NULL</x:v>
      </x:c>
      <x:c r="K150" s="35" t="str">
        <x:v>VARCHAR(100) | NULL</x:v>
      </x:c>
      <x:c r="L150" s="35" t="str"/>
      <x:c r="M150" s="35" t="str">
        <x:v>주소</x:v>
      </x:c>
      <x:c r="N150" s="35" t="str">
        <x:v>중간</x:v>
      </x:c>
      <x:c r="O150" s="35" t="str">
        <x:v>SYS_INST.ADDR 필드를 Entity/DTO/입력·조회 SQL에 반영하고 기존 데이터 채움 정책 확인; 테이블 참조 SYS_OFFC → SYS_INST 변경</x:v>
      </x:c>
      <x:c r="P150" s="35" t="str">
        <x:v>미착수</x:v>
      </x:c>
      <x:c r="Q150" s="35" t="str"/>
      <x:c r="R150" s="35" t="str"/>
    </x:row>
    <x:row r="151">
      <x:c r="A151" s="35" t="n">
        <x:v>147</x:v>
      </x:c>
      <x:c r="B151" s="35" t="str">
        <x:v>SYS_OFFC</x:v>
      </x:c>
      <x:c r="C151" s="35" t="str">
        <x:v>SYS_INST</x:v>
      </x:c>
      <x:c r="D151" s="35" t="str">
        <x:v>테이블명 변경/대체</x:v>
      </x:c>
      <x:c r="E151" s="35" t="str"/>
      <x:c r="F151" s="35" t="str">
        <x:v>ADDR_DTL</x:v>
      </x:c>
      <x:c r="G151" s="35" t="str">
        <x:v>컬럼 추가</x:v>
      </x:c>
      <x:c r="H151" s="35" t="str">
        <x:v>확실</x:v>
      </x:c>
      <x:c r="I151" s="35" t="str"/>
      <x:c r="J151" s="35" t="str">
        <x:v>VARCHAR(100) | NULL</x:v>
      </x:c>
      <x:c r="K151" s="35" t="str">
        <x:v>VARCHAR(100) | NULL</x:v>
      </x:c>
      <x:c r="L151" s="35" t="str"/>
      <x:c r="M151" s="35" t="str">
        <x:v>주소상세</x:v>
      </x:c>
      <x:c r="N151" s="35" t="str">
        <x:v>중간</x:v>
      </x:c>
      <x:c r="O151" s="35" t="str">
        <x:v>SYS_INST.ADDR_DTL 필드를 Entity/DTO/입력·조회 SQL에 반영하고 기존 데이터 채움 정책 확인; 테이블 참조 SYS_OFFC → SYS_INST 변경</x:v>
      </x:c>
      <x:c r="P151" s="35" t="str">
        <x:v>미착수</x:v>
      </x:c>
      <x:c r="Q151" s="35" t="str"/>
      <x:c r="R151" s="35" t="str"/>
    </x:row>
    <x:row r="152">
      <x:c r="A152" s="35" t="n">
        <x:v>148</x:v>
      </x:c>
      <x:c r="B152" s="35" t="str">
        <x:v>SYS_OFFC</x:v>
      </x:c>
      <x:c r="C152" s="35" t="str">
        <x:v>SYS_INST</x:v>
      </x:c>
      <x:c r="D152" s="35" t="str">
        <x:v>테이블명 변경/대체</x:v>
      </x:c>
      <x:c r="E152" s="35" t="str"/>
      <x:c r="F152" s="35" t="str">
        <x:v>LAT</x:v>
      </x:c>
      <x:c r="G152" s="35" t="str">
        <x:v>컬럼 추가</x:v>
      </x:c>
      <x:c r="H152" s="35" t="str">
        <x:v>확실</x:v>
      </x:c>
      <x:c r="I152" s="35" t="str"/>
      <x:c r="J152" s="35" t="str">
        <x:v>FLOAT | NULL</x:v>
      </x:c>
      <x:c r="K152" s="35" t="str">
        <x:v>FLOAT | NULL</x:v>
      </x:c>
      <x:c r="L152" s="35" t="str"/>
      <x:c r="M152" s="35" t="str">
        <x:v>위도</x:v>
      </x:c>
      <x:c r="N152" s="35" t="str">
        <x:v>중간</x:v>
      </x:c>
      <x:c r="O152" s="35" t="str">
        <x:v>SYS_INST.LAT 필드를 Entity/DTO/입력·조회 SQL에 반영하고 기존 데이터 채움 정책 확인; 테이블 참조 SYS_OFFC → SYS_INST 변경</x:v>
      </x:c>
      <x:c r="P152" s="35" t="str">
        <x:v>미착수</x:v>
      </x:c>
      <x:c r="Q152" s="35" t="str"/>
      <x:c r="R152" s="35" t="str"/>
    </x:row>
    <x:row r="153">
      <x:c r="A153" s="35" t="n">
        <x:v>149</x:v>
      </x:c>
      <x:c r="B153" s="35" t="str">
        <x:v>SYS_OFFC</x:v>
      </x:c>
      <x:c r="C153" s="35" t="str">
        <x:v>SYS_INST</x:v>
      </x:c>
      <x:c r="D153" s="35" t="str">
        <x:v>테이블명 변경/대체</x:v>
      </x:c>
      <x:c r="E153" s="35" t="str"/>
      <x:c r="F153" s="35" t="str">
        <x:v>LOT</x:v>
      </x:c>
      <x:c r="G153" s="35" t="str">
        <x:v>컬럼 추가</x:v>
      </x:c>
      <x:c r="H153" s="35" t="str">
        <x:v>확실</x:v>
      </x:c>
      <x:c r="I153" s="35" t="str"/>
      <x:c r="J153" s="35" t="str">
        <x:v>FLOAT | NULL</x:v>
      </x:c>
      <x:c r="K153" s="35" t="str">
        <x:v>FLOAT | NULL</x:v>
      </x:c>
      <x:c r="L153" s="35" t="str"/>
      <x:c r="M153" s="35" t="str">
        <x:v>경도</x:v>
      </x:c>
      <x:c r="N153" s="35" t="str">
        <x:v>중간</x:v>
      </x:c>
      <x:c r="O153" s="35" t="str">
        <x:v>SYS_INST.LOT 필드를 Entity/DTO/입력·조회 SQL에 반영하고 기존 데이터 채움 정책 확인; 테이블 참조 SYS_OFFC → SYS_INST 변경</x:v>
      </x:c>
      <x:c r="P153" s="35" t="str">
        <x:v>미착수</x:v>
      </x:c>
      <x:c r="Q153" s="35" t="str"/>
      <x:c r="R153" s="35" t="str"/>
    </x:row>
    <x:row r="154">
      <x:c r="A154" s="35" t="n">
        <x:v>150</x:v>
      </x:c>
      <x:c r="B154" s="35" t="str">
        <x:v>SYS_OFFC</x:v>
      </x:c>
      <x:c r="C154" s="35" t="str">
        <x:v>SYS_INST</x:v>
      </x:c>
      <x:c r="D154" s="35" t="str">
        <x:v>테이블명 변경/대체</x:v>
      </x:c>
      <x:c r="E154" s="35" t="str"/>
      <x:c r="F154" s="35" t="str">
        <x:v>WGHT_LMT_YN</x:v>
      </x:c>
      <x:c r="G154" s="35" t="str">
        <x:v>컬럼 추가</x:v>
      </x:c>
      <x:c r="H154" s="35" t="str">
        <x:v>확실</x:v>
      </x:c>
      <x:c r="I154" s="35" t="str"/>
      <x:c r="J154" s="35" t="str">
        <x:v>CHAR(1) | NULL</x:v>
      </x:c>
      <x:c r="K154" s="35" t="str">
        <x:v>CHAR(1) | NULL</x:v>
      </x:c>
      <x:c r="L154" s="35" t="str"/>
      <x:c r="M154" s="35" t="str">
        <x:v>중량제한여부</x:v>
      </x:c>
      <x:c r="N154" s="35" t="str">
        <x:v>중간</x:v>
      </x:c>
      <x:c r="O154" s="35" t="str">
        <x:v>SYS_INST.WGHT_LMT_YN 필드를 Entity/DTO/입력·조회 SQL에 반영하고 기존 데이터 채움 정책 확인; 테이블 참조 SYS_OFFC → SYS_INST 변경</x:v>
      </x:c>
      <x:c r="P154" s="35" t="str">
        <x:v>미착수</x:v>
      </x:c>
      <x:c r="Q154" s="35" t="str"/>
      <x:c r="R154" s="35" t="str"/>
    </x:row>
    <x:row r="155">
      <x:c r="A155" s="35" t="n">
        <x:v>151</x:v>
      </x:c>
      <x:c r="B155" s="35" t="str">
        <x:v>SYS_OFFC</x:v>
      </x:c>
      <x:c r="C155" s="35" t="str">
        <x:v>SYS_INST</x:v>
      </x:c>
      <x:c r="D155" s="35" t="str">
        <x:v>테이블명 변경/대체</x:v>
      </x:c>
      <x:c r="E155" s="35" t="str"/>
      <x:c r="F155" s="35" t="str">
        <x:v>PRIVT_YN</x:v>
      </x:c>
      <x:c r="G155" s="35" t="str">
        <x:v>컬럼 추가</x:v>
      </x:c>
      <x:c r="H155" s="35" t="str">
        <x:v>확실</x:v>
      </x:c>
      <x:c r="I155" s="35" t="str"/>
      <x:c r="J155" s="35" t="str">
        <x:v>CHAR(1) | NULL</x:v>
      </x:c>
      <x:c r="K155" s="35" t="str">
        <x:v>CHAR(1) | NULL</x:v>
      </x:c>
      <x:c r="L155" s="35" t="str"/>
      <x:c r="M155" s="35" t="str">
        <x:v>민간여부</x:v>
      </x:c>
      <x:c r="N155" s="35" t="str">
        <x:v>중간</x:v>
      </x:c>
      <x:c r="O155" s="35" t="str">
        <x:v>SYS_INST.PRIVT_YN 필드를 Entity/DTO/입력·조회 SQL에 반영하고 기존 데이터 채움 정책 확인; 테이블 참조 SYS_OFFC → SYS_INST 변경</x:v>
      </x:c>
      <x:c r="P155" s="35" t="str">
        <x:v>미착수</x:v>
      </x:c>
      <x:c r="Q155" s="35" t="str"/>
      <x:c r="R155" s="35" t="str"/>
    </x:row>
    <x:row r="156">
      <x:c r="A156" s="35" t="n">
        <x:v>152</x:v>
      </x:c>
      <x:c r="B156" s="35" t="str">
        <x:v>SYS_OFFC</x:v>
      </x:c>
      <x:c r="C156" s="35" t="str">
        <x:v>SYS_INST</x:v>
      </x:c>
      <x:c r="D156" s="35" t="str">
        <x:v>테이블명 변경/대체</x:v>
      </x:c>
      <x:c r="E156" s="35" t="str"/>
      <x:c r="F156" s="35" t="str">
        <x:v>PRMSN_BGNG_YMD</x:v>
      </x:c>
      <x:c r="G156" s="35" t="str">
        <x:v>컬럼 추가</x:v>
      </x:c>
      <x:c r="H156" s="35" t="str">
        <x:v>확실</x:v>
      </x:c>
      <x:c r="I156" s="35" t="str"/>
      <x:c r="J156" s="35" t="str">
        <x:v>VARCHAR(8) | NULL</x:v>
      </x:c>
      <x:c r="K156" s="35" t="str">
        <x:v>VARCHAR(8) | NULL</x:v>
      </x:c>
      <x:c r="L156" s="35" t="str"/>
      <x:c r="M156" s="35" t="str">
        <x:v>허가시작일자</x:v>
      </x:c>
      <x:c r="N156" s="35" t="str">
        <x:v>중간</x:v>
      </x:c>
      <x:c r="O156" s="35" t="str">
        <x:v>SYS_INST.PRMSN_BGNG_YMD 필드를 Entity/DTO/입력·조회 SQL에 반영하고 기존 데이터 채움 정책 확인; 테이블 참조 SYS_OFFC → SYS_INST 변경</x:v>
      </x:c>
      <x:c r="P156" s="35" t="str">
        <x:v>미착수</x:v>
      </x:c>
      <x:c r="Q156" s="35" t="str"/>
      <x:c r="R156" s="35" t="str"/>
    </x:row>
    <x:row r="157">
      <x:c r="A157" s="35" t="n">
        <x:v>153</x:v>
      </x:c>
      <x:c r="B157" s="35" t="str">
        <x:v>SYS_OFFC</x:v>
      </x:c>
      <x:c r="C157" s="35" t="str">
        <x:v>SYS_INST</x:v>
      </x:c>
      <x:c r="D157" s="35" t="str">
        <x:v>테이블명 변경/대체</x:v>
      </x:c>
      <x:c r="E157" s="35" t="str"/>
      <x:c r="F157" s="35" t="str">
        <x:v>PRMSN_END_YMD</x:v>
      </x:c>
      <x:c r="G157" s="35" t="str">
        <x:v>컬럼 추가</x:v>
      </x:c>
      <x:c r="H157" s="35" t="str">
        <x:v>확실</x:v>
      </x:c>
      <x:c r="I157" s="35" t="str"/>
      <x:c r="J157" s="35" t="str">
        <x:v>VARCHAR(8) | NULL</x:v>
      </x:c>
      <x:c r="K157" s="35" t="str">
        <x:v>VARCHAR(8) | NULL</x:v>
      </x:c>
      <x:c r="L157" s="35" t="str"/>
      <x:c r="M157" s="35" t="str">
        <x:v>허가종료일자</x:v>
      </x:c>
      <x:c r="N157" s="35" t="str">
        <x:v>중간</x:v>
      </x:c>
      <x:c r="O157" s="35" t="str">
        <x:v>SYS_INST.PRMSN_END_YMD 필드를 Entity/DTO/입력·조회 SQL에 반영하고 기존 데이터 채움 정책 확인; 테이블 참조 SYS_OFFC → SYS_INST 변경</x:v>
      </x:c>
      <x:c r="P157" s="35" t="str">
        <x:v>미착수</x:v>
      </x:c>
      <x:c r="Q157" s="35" t="str"/>
      <x:c r="R157" s="35" t="str"/>
    </x:row>
    <x:row r="158">
      <x:c r="A158" s="35" t="n">
        <x:v>154</x:v>
      </x:c>
      <x:c r="B158" s="35" t="str">
        <x:v>SYS_OFFC</x:v>
      </x:c>
      <x:c r="C158" s="35" t="str">
        <x:v>SYS_INST</x:v>
      </x:c>
      <x:c r="D158" s="35" t="str">
        <x:v>테이블명 변경/대체</x:v>
      </x:c>
      <x:c r="E158" s="35" t="str"/>
      <x:c r="F158" s="35" t="str">
        <x:v>USE_YN</x:v>
      </x:c>
      <x:c r="G158" s="35" t="str">
        <x:v>컬럼 추가</x:v>
      </x:c>
      <x:c r="H158" s="35" t="str">
        <x:v>확실</x:v>
      </x:c>
      <x:c r="I158" s="35" t="str"/>
      <x:c r="J158" s="35" t="str">
        <x:v>CHAR(1) | NULL | DEFAULT 'Y'</x:v>
      </x:c>
      <x:c r="K158" s="35" t="str">
        <x:v>CHAR(1) | NULL | DEFAULT 'Y'</x:v>
      </x:c>
      <x:c r="L158" s="35" t="str"/>
      <x:c r="M158" s="35" t="str">
        <x:v>사용여부</x:v>
      </x:c>
      <x:c r="N158" s="35" t="str">
        <x:v>중간</x:v>
      </x:c>
      <x:c r="O158" s="35" t="str">
        <x:v>SYS_INST.USE_YN 필드를 Entity/DTO/입력·조회 SQL에 반영하고 기존 데이터 채움 정책 확인; 테이블 참조 SYS_OFFC → SYS_INST 변경</x:v>
      </x:c>
      <x:c r="P158" s="35" t="str">
        <x:v>미착수</x:v>
      </x:c>
      <x:c r="Q158" s="35" t="str"/>
      <x:c r="R158" s="35" t="str"/>
    </x:row>
    <x:row r="159">
      <x:c r="A159" s="35" t="n">
        <x:v>155</x:v>
      </x:c>
      <x:c r="B159" s="35" t="str">
        <x:v>SYS_SITE_CFG</x:v>
      </x:c>
      <x:c r="C159" s="35" t="str">
        <x:v>SYS_SITE_CFG</x:v>
      </x:c>
      <x:c r="D159" s="35" t="str">
        <x:v>테이블 유지</x:v>
      </x:c>
      <x:c r="E159" s="35" t="str">
        <x:v>CFG_GRP_ID</x:v>
      </x:c>
      <x:c r="F159" s="35" t="str">
        <x:v>CFG_GRP_ID</x:v>
      </x:c>
      <x:c r="G159" s="35" t="str">
        <x:v>유지</x:v>
      </x:c>
      <x:c r="H159" s="35" t="str">
        <x:v>확실</x:v>
      </x:c>
      <x:c r="I159" s="35" t="str">
        <x:v>VARCHAR(100) | NOT NULL</x:v>
      </x:c>
      <x:c r="J159" s="35" t="str">
        <x:v>VARCHAR(100) | NOT NULL</x:v>
      </x:c>
      <x:c r="K159" s="35" t="str">
        <x:v>동일</x:v>
      </x:c>
      <x:c r="L159" s="35" t="str">
        <x:v>설정그룹아이디</x:v>
      </x:c>
      <x:c r="M159" s="35" t="str">
        <x:v>설정그룹아이디</x:v>
      </x:c>
      <x:c r="N159" s="35" t="str">
        <x:v>낮음</x:v>
      </x:c>
      <x:c r="O159" s="35" t="str">
        <x:v>코드 변경 불필요. 회귀 테스트만 수행</x:v>
      </x:c>
      <x:c r="P159" s="35" t="str">
        <x:v>해당없음</x:v>
      </x:c>
      <x:c r="Q159" s="35" t="str"/>
      <x:c r="R159" s="35" t="str"/>
    </x:row>
    <x:row r="160">
      <x:c r="A160" s="35" t="n">
        <x:v>156</x:v>
      </x:c>
      <x:c r="B160" s="35" t="str">
        <x:v>SYS_SITE_CFG</x:v>
      </x:c>
      <x:c r="C160" s="35" t="str">
        <x:v>SYS_SITE_CFG</x:v>
      </x:c>
      <x:c r="D160" s="35" t="str">
        <x:v>테이블 유지</x:v>
      </x:c>
      <x:c r="E160" s="35" t="str">
        <x:v>CFG_KEY</x:v>
      </x:c>
      <x:c r="F160" s="35" t="str">
        <x:v>CFG_KEY</x:v>
      </x:c>
      <x:c r="G160" s="35" t="str">
        <x:v>유지</x:v>
      </x:c>
      <x:c r="H160" s="35" t="str">
        <x:v>확실</x:v>
      </x:c>
      <x:c r="I160" s="35" t="str">
        <x:v>VARCHAR(500) | NOT NULL | PK</x:v>
      </x:c>
      <x:c r="J160" s="35" t="str">
        <x:v>VARCHAR(500) | NOT NULL | PK</x:v>
      </x:c>
      <x:c r="K160" s="35" t="str">
        <x:v>동일</x:v>
      </x:c>
      <x:c r="L160" s="35" t="str">
        <x:v>설정키</x:v>
      </x:c>
      <x:c r="M160" s="35" t="str">
        <x:v>설정키</x:v>
      </x:c>
      <x:c r="N160" s="35" t="str">
        <x:v>낮음</x:v>
      </x:c>
      <x:c r="O160" s="35" t="str">
        <x:v>코드 변경 불필요. 회귀 테스트만 수행</x:v>
      </x:c>
      <x:c r="P160" s="35" t="str">
        <x:v>해당없음</x:v>
      </x:c>
      <x:c r="Q160" s="35" t="str"/>
      <x:c r="R160" s="35" t="str"/>
    </x:row>
    <x:row r="161">
      <x:c r="A161" s="35" t="n">
        <x:v>157</x:v>
      </x:c>
      <x:c r="B161" s="35" t="str">
        <x:v>SYS_SITE_CFG</x:v>
      </x:c>
      <x:c r="C161" s="35" t="str">
        <x:v>SYS_SITE_CFG</x:v>
      </x:c>
      <x:c r="D161" s="35" t="str">
        <x:v>테이블 유지</x:v>
      </x:c>
      <x:c r="E161" s="35" t="str">
        <x:v>CFG_VAL</x:v>
      </x:c>
      <x:c r="F161" s="35" t="str">
        <x:v>CFG_VAL</x:v>
      </x:c>
      <x:c r="G161" s="35" t="str">
        <x:v>유지</x:v>
      </x:c>
      <x:c r="H161" s="35" t="str">
        <x:v>확실</x:v>
      </x:c>
      <x:c r="I161" s="35" t="str">
        <x:v>VARCHAR(100) | NOT NULL</x:v>
      </x:c>
      <x:c r="J161" s="35" t="str">
        <x:v>VARCHAR(100) | NOT NULL</x:v>
      </x:c>
      <x:c r="K161" s="35" t="str">
        <x:v>동일</x:v>
      </x:c>
      <x:c r="L161" s="35" t="str">
        <x:v>설정값</x:v>
      </x:c>
      <x:c r="M161" s="35" t="str">
        <x:v>설정값</x:v>
      </x:c>
      <x:c r="N161" s="35" t="str">
        <x:v>낮음</x:v>
      </x:c>
      <x:c r="O161" s="35" t="str">
        <x:v>코드 변경 불필요. 회귀 테스트만 수행</x:v>
      </x:c>
      <x:c r="P161" s="35" t="str">
        <x:v>해당없음</x:v>
      </x:c>
      <x:c r="Q161" s="35" t="str"/>
      <x:c r="R161" s="35" t="str"/>
    </x:row>
    <x:row r="162">
      <x:c r="A162" s="35" t="n">
        <x:v>158</x:v>
      </x:c>
      <x:c r="B162" s="35" t="str">
        <x:v>SYS_SITE_CFG</x:v>
      </x:c>
      <x:c r="C162" s="35" t="str">
        <x:v>SYS_SITE_CFG</x:v>
      </x:c>
      <x:c r="D162" s="35" t="str">
        <x:v>테이블 유지</x:v>
      </x:c>
      <x:c r="E162" s="35" t="str">
        <x:v>DESCRIPTION</x:v>
      </x:c>
      <x:c r="F162" s="35" t="str">
        <x:v>DESCRIPTION</x:v>
      </x:c>
      <x:c r="G162" s="35" t="str">
        <x:v>유지</x:v>
      </x:c>
      <x:c r="H162" s="35" t="str">
        <x:v>확실</x:v>
      </x:c>
      <x:c r="I162" s="35" t="str">
        <x:v>VARCHAR(500) | NULL</x:v>
      </x:c>
      <x:c r="J162" s="35" t="str">
        <x:v>VARCHAR(500) | NULL</x:v>
      </x:c>
      <x:c r="K162" s="35" t="str">
        <x:v>동일</x:v>
      </x:c>
      <x:c r="L162" s="35" t="str">
        <x:v>설명</x:v>
      </x:c>
      <x:c r="M162" s="35" t="str">
        <x:v>설명</x:v>
      </x:c>
      <x:c r="N162" s="35" t="str">
        <x:v>낮음</x:v>
      </x:c>
      <x:c r="O162" s="35" t="str">
        <x:v>코드 변경 불필요. 회귀 테스트만 수행</x:v>
      </x:c>
      <x:c r="P162" s="35" t="str">
        <x:v>해당없음</x:v>
      </x:c>
      <x:c r="Q162" s="35" t="str"/>
      <x:c r="R162" s="35" t="str"/>
    </x:row>
    <x:row r="163">
      <x:c r="A163" s="35" t="n">
        <x:v>159</x:v>
      </x:c>
      <x:c r="B163" s="35" t="str">
        <x:v>SYS_SITE_CFG</x:v>
      </x:c>
      <x:c r="C163" s="35" t="str">
        <x:v>SYS_SITE_CFG</x:v>
      </x:c>
      <x:c r="D163" s="35" t="str">
        <x:v>테이블 유지</x:v>
      </x:c>
      <x:c r="E163" s="35" t="str">
        <x:v>USE_YN</x:v>
      </x:c>
      <x:c r="F163" s="35" t="str">
        <x:v>USE_YN</x:v>
      </x:c>
      <x:c r="G163" s="35" t="str">
        <x:v>유지</x:v>
      </x:c>
      <x:c r="H163" s="35" t="str">
        <x:v>확실</x:v>
      </x:c>
      <x:c r="I163" s="35" t="str">
        <x:v>CHAR | NOT NULL | DEFAULT '0'</x:v>
      </x:c>
      <x:c r="J163" s="35" t="str">
        <x:v>CHAR | NOT NULL | DEFAULT '0'</x:v>
      </x:c>
      <x:c r="K163" s="35" t="str">
        <x:v>동일</x:v>
      </x:c>
      <x:c r="L163" s="35" t="str">
        <x:v>사용여부</x:v>
      </x:c>
      <x:c r="M163" s="35" t="str">
        <x:v>사용여부</x:v>
      </x:c>
      <x:c r="N163" s="35" t="str">
        <x:v>낮음</x:v>
      </x:c>
      <x:c r="O163" s="35" t="str">
        <x:v>코드 변경 불필요. 회귀 테스트만 수행</x:v>
      </x:c>
      <x:c r="P163" s="35" t="str">
        <x:v>해당없음</x:v>
      </x:c>
      <x:c r="Q163" s="35" t="str"/>
      <x:c r="R163" s="35" t="str"/>
    </x:row>
    <x:row r="164">
      <x:c r="A164" s="35" t="n">
        <x:v>160</x:v>
      </x:c>
      <x:c r="B164" s="35" t="str">
        <x:v>SYS_SITE_CFG</x:v>
      </x:c>
      <x:c r="C164" s="35" t="str">
        <x:v>SYS_SITE_CFG</x:v>
      </x:c>
      <x:c r="D164" s="35" t="str">
        <x:v>테이블 유지</x:v>
      </x:c>
      <x:c r="E164" s="35" t="str">
        <x:v>SYS_CRT_DT</x:v>
      </x:c>
      <x:c r="F164" s="35" t="str">
        <x:v>SYS_GEN_DT</x:v>
      </x:c>
      <x:c r="G164" s="35" t="str">
        <x:v>이름변경</x:v>
      </x:c>
      <x:c r="H164" s="35" t="str">
        <x:v>높음</x:v>
      </x:c>
      <x:c r="I164" s="35" t="str">
        <x:v>DATETIME | NOT NULL</x:v>
      </x:c>
      <x:c r="J164" s="35" t="str">
        <x:v>DATETIME | NOT NULL</x:v>
      </x:c>
      <x:c r="K164" s="35" t="str">
        <x:v>SYS_CRT_DT → SYS_GEN_DT</x:v>
      </x:c>
      <x:c r="L164" s="35" t="str">
        <x:v>작성일자</x:v>
      </x:c>
      <x:c r="M164" s="35" t="str">
        <x:v>시스템생성일시</x:v>
      </x:c>
      <x:c r="N164" s="35" t="str">
        <x:v>중간</x:v>
      </x:c>
      <x:c r="O164" s="35" t="str">
        <x:v>SYS_SITE_CFG.SYS_CRT_DT 참조를 SYS_SITE_CFG.SYS_GEN_DT로 변경하고 SQL alias/직렬화 명칭 점검</x:v>
      </x:c>
      <x:c r="P164" s="35" t="str">
        <x:v>미착수</x:v>
      </x:c>
      <x:c r="Q164" s="35" t="str"/>
      <x:c r="R164" s="35" t="str"/>
    </x:row>
    <x:row r="165">
      <x:c r="A165" s="35" t="n">
        <x:v>161</x:v>
      </x:c>
      <x:c r="B165" s="35" t="str">
        <x:v>SYS_SITE_CFG</x:v>
      </x:c>
      <x:c r="C165" s="35" t="str">
        <x:v>SYS_SITE_CFG</x:v>
      </x:c>
      <x:c r="D165" s="35" t="str">
        <x:v>테이블 유지</x:v>
      </x:c>
      <x:c r="E165" s="35" t="str">
        <x:v>SYS_CRT_USR_ID</x:v>
      </x:c>
      <x:c r="F165" s="35" t="str">
        <x:v>SYS_CRT_USR_ID</x:v>
      </x:c>
      <x:c r="G165" s="35" t="str">
        <x:v>유지</x:v>
      </x:c>
      <x:c r="H165" s="35" t="str">
        <x:v>확실</x:v>
      </x:c>
      <x:c r="I165" s="35" t="str">
        <x:v>VARCHAR(32) | NOT NULL</x:v>
      </x:c>
      <x:c r="J165" s="35" t="str">
        <x:v>VARCHAR(32) | NOT NULL</x:v>
      </x:c>
      <x:c r="K165" s="35" t="str">
        <x:v>동일</x:v>
      </x:c>
      <x:c r="L165" s="35" t="str">
        <x:v>작성자ID</x:v>
      </x:c>
      <x:c r="M165" s="35" t="str">
        <x:v>시스템생성자ID</x:v>
      </x:c>
      <x:c r="N165" s="35" t="str">
        <x:v>낮음</x:v>
      </x:c>
      <x:c r="O165" s="35" t="str">
        <x:v>코드 변경 불필요. 회귀 테스트만 수행</x:v>
      </x:c>
      <x:c r="P165" s="35" t="str">
        <x:v>해당없음</x:v>
      </x:c>
      <x:c r="Q165" s="35" t="str"/>
      <x:c r="R165" s="35" t="str"/>
    </x:row>
    <x:row r="166">
      <x:c r="A166" s="35" t="n">
        <x:v>162</x:v>
      </x:c>
      <x:c r="B166" s="35" t="str">
        <x:v>SYS_SITE_CFG</x:v>
      </x:c>
      <x:c r="C166" s="35" t="str">
        <x:v>SYS_SITE_CFG</x:v>
      </x:c>
      <x:c r="D166" s="35" t="str">
        <x:v>테이블 유지</x:v>
      </x:c>
      <x:c r="E166" s="35" t="str">
        <x:v>SYS_UPD_DT</x:v>
      </x:c>
      <x:c r="F166" s="35" t="str">
        <x:v>SYS_MDFCN_DT</x:v>
      </x:c>
      <x:c r="G166" s="35" t="str">
        <x:v>이름+정의 변경</x:v>
      </x:c>
      <x:c r="H166" s="35" t="str">
        <x:v>높음</x:v>
      </x:c>
      <x:c r="I166" s="35" t="str">
        <x:v>DATETIME | NULL</x:v>
      </x:c>
      <x:c r="J166" s="35" t="str">
        <x:v>DATETIME | NOT NULL</x:v>
      </x:c>
      <x:c r="K166" s="35" t="str">
        <x:v>NULL → NOT NULL</x:v>
      </x:c>
      <x:c r="L166" s="35" t="str">
        <x:v>수정일자</x:v>
      </x:c>
      <x:c r="M166" s="35" t="str">
        <x:v>시스템수정일시</x:v>
      </x:c>
      <x:c r="N166" s="35" t="str">
        <x:v>낮음</x:v>
      </x:c>
      <x:c r="O166" s="35" t="str">
        <x:v>코드 변경 불필요. 회귀 테스트만 수행</x:v>
      </x:c>
      <x:c r="P166" s="35" t="str">
        <x:v>미착수</x:v>
      </x:c>
      <x:c r="Q166" s="35" t="str"/>
      <x:c r="R166" s="35" t="str"/>
    </x:row>
    <x:row r="167">
      <x:c r="A167" s="35" t="n">
        <x:v>163</x:v>
      </x:c>
      <x:c r="B167" s="35" t="str">
        <x:v>SYS_SITE_CFG</x:v>
      </x:c>
      <x:c r="C167" s="35" t="str">
        <x:v>SYS_SITE_CFG</x:v>
      </x:c>
      <x:c r="D167" s="35" t="str">
        <x:v>테이블 유지</x:v>
      </x:c>
      <x:c r="E167" s="35" t="str">
        <x:v>SYS_UPD_USR_ID</x:v>
      </x:c>
      <x:c r="F167" s="35" t="str">
        <x:v>SYS_MDFR_ID</x:v>
      </x:c>
      <x:c r="G167" s="35" t="str">
        <x:v>이름+정의 변경</x:v>
      </x:c>
      <x:c r="H167" s="35" t="str">
        <x:v>높음</x:v>
      </x:c>
      <x:c r="I167" s="35" t="str">
        <x:v>VARCHAR(32) | NULL</x:v>
      </x:c>
      <x:c r="J167" s="35" t="str">
        <x:v>VARCHAR(20) | NOT NULL</x:v>
      </x:c>
      <x:c r="K167" s="35" t="str">
        <x:v>VARCHAR(32) → VARCHAR(20); NULL → NOT NULL</x:v>
      </x:c>
      <x:c r="L167" s="35" t="str">
        <x:v>수정자ID</x:v>
      </x:c>
      <x:c r="M167" s="35" t="str">
        <x:v>시스템수정자ID</x:v>
      </x:c>
      <x:c r="N167" s="35" t="str">
        <x:v>낮음</x:v>
      </x:c>
      <x:c r="O167" s="35" t="str">
        <x:v>코드 변경 불필요. 회귀 테스트만 수행</x:v>
      </x:c>
      <x:c r="P167" s="35" t="str">
        <x:v>미착수</x:v>
      </x:c>
      <x:c r="Q167" s="35" t="str"/>
      <x:c r="R167" s="35" t="str"/>
    </x:row>
    <x:row r="168">
      <x:c r="A168" s="35" t="n">
        <x:v>164</x:v>
      </x:c>
      <x:c r="B168" s="35" t="str">
        <x:v>SYS_SITE_CFG_GRP</x:v>
      </x:c>
      <x:c r="C168" s="35" t="str">
        <x:v>SYS_SITE_CFG_GRP</x:v>
      </x:c>
      <x:c r="D168" s="35" t="str">
        <x:v>테이블 유지</x:v>
      </x:c>
      <x:c r="E168" s="35" t="str">
        <x:v>CFG_GRP_ID</x:v>
      </x:c>
      <x:c r="F168" s="35" t="str">
        <x:v>CFG_GRP_ID</x:v>
      </x:c>
      <x:c r="G168" s="35" t="str">
        <x:v>유지</x:v>
      </x:c>
      <x:c r="H168" s="35" t="str">
        <x:v>확실</x:v>
      </x:c>
      <x:c r="I168" s="35" t="str">
        <x:v>VARCHAR(100) | NOT NULL | PK</x:v>
      </x:c>
      <x:c r="J168" s="35" t="str">
        <x:v>VARCHAR(100) | NOT NULL | PK</x:v>
      </x:c>
      <x:c r="K168" s="35" t="str">
        <x:v>동일</x:v>
      </x:c>
      <x:c r="L168" s="35" t="str">
        <x:v>설정그룹아이디</x:v>
      </x:c>
      <x:c r="M168" s="35" t="str">
        <x:v>설정그룹아이디</x:v>
      </x:c>
      <x:c r="N168" s="35" t="str">
        <x:v>낮음</x:v>
      </x:c>
      <x:c r="O168" s="35" t="str">
        <x:v>코드 변경 불필요. 회귀 테스트만 수행</x:v>
      </x:c>
      <x:c r="P168" s="35" t="str">
        <x:v>해당없음</x:v>
      </x:c>
      <x:c r="Q168" s="35" t="str"/>
      <x:c r="R168" s="35" t="str"/>
    </x:row>
    <x:row r="169">
      <x:c r="A169" s="35" t="n">
        <x:v>165</x:v>
      </x:c>
      <x:c r="B169" s="35" t="str">
        <x:v>SYS_SITE_CFG_GRP</x:v>
      </x:c>
      <x:c r="C169" s="35" t="str">
        <x:v>SYS_SITE_CFG_GRP</x:v>
      </x:c>
      <x:c r="D169" s="35" t="str">
        <x:v>테이블 유지</x:v>
      </x:c>
      <x:c r="E169" s="35" t="str">
        <x:v>CFG_GRP_NM</x:v>
      </x:c>
      <x:c r="F169" s="35" t="str">
        <x:v>CFG_GRP_NM</x:v>
      </x:c>
      <x:c r="G169" s="35" t="str">
        <x:v>유지</x:v>
      </x:c>
      <x:c r="H169" s="35" t="str">
        <x:v>확실</x:v>
      </x:c>
      <x:c r="I169" s="35" t="str">
        <x:v>VARCHAR(255) | NOT NULL</x:v>
      </x:c>
      <x:c r="J169" s="35" t="str">
        <x:v>VARCHAR(255) | NOT NULL</x:v>
      </x:c>
      <x:c r="K169" s="35" t="str">
        <x:v>동일</x:v>
      </x:c>
      <x:c r="L169" s="35" t="str">
        <x:v>설정그룹이름</x:v>
      </x:c>
      <x:c r="M169" s="35" t="str">
        <x:v>설정그룹이름</x:v>
      </x:c>
      <x:c r="N169" s="35" t="str">
        <x:v>낮음</x:v>
      </x:c>
      <x:c r="O169" s="35" t="str">
        <x:v>코드 변경 불필요. 회귀 테스트만 수행</x:v>
      </x:c>
      <x:c r="P169" s="35" t="str">
        <x:v>해당없음</x:v>
      </x:c>
      <x:c r="Q169" s="35" t="str"/>
      <x:c r="R169" s="35" t="str"/>
    </x:row>
    <x:row r="170">
      <x:c r="A170" s="35" t="n">
        <x:v>166</x:v>
      </x:c>
      <x:c r="B170" s="35" t="str">
        <x:v>SYS_SITE_CFG_GRP</x:v>
      </x:c>
      <x:c r="C170" s="35" t="str">
        <x:v>SYS_SITE_CFG_GRP</x:v>
      </x:c>
      <x:c r="D170" s="35" t="str">
        <x:v>테이블 유지</x:v>
      </x:c>
      <x:c r="E170" s="35" t="str">
        <x:v>USE_YN</x:v>
      </x:c>
      <x:c r="F170" s="35" t="str">
        <x:v>USE_YN</x:v>
      </x:c>
      <x:c r="G170" s="35" t="str">
        <x:v>유지</x:v>
      </x:c>
      <x:c r="H170" s="35" t="str">
        <x:v>확실</x:v>
      </x:c>
      <x:c r="I170" s="35" t="str">
        <x:v>CHAR | NOT NULL</x:v>
      </x:c>
      <x:c r="J170" s="35" t="str">
        <x:v>CHAR | NOT NULL</x:v>
      </x:c>
      <x:c r="K170" s="35" t="str">
        <x:v>동일</x:v>
      </x:c>
      <x:c r="L170" s="35" t="str">
        <x:v>사용여부</x:v>
      </x:c>
      <x:c r="M170" s="35" t="str">
        <x:v>사용여부</x:v>
      </x:c>
      <x:c r="N170" s="35" t="str">
        <x:v>낮음</x:v>
      </x:c>
      <x:c r="O170" s="35" t="str">
        <x:v>코드 변경 불필요. 회귀 테스트만 수행</x:v>
      </x:c>
      <x:c r="P170" s="35" t="str">
        <x:v>해당없음</x:v>
      </x:c>
      <x:c r="Q170" s="35" t="str"/>
      <x:c r="R170" s="35" t="str"/>
    </x:row>
    <x:row r="171">
      <x:c r="A171" s="35" t="n">
        <x:v>167</x:v>
      </x:c>
      <x:c r="B171" s="35" t="str">
        <x:v>SYS_SITE_CFG_GRP</x:v>
      </x:c>
      <x:c r="C171" s="35" t="str">
        <x:v>SYS_SITE_CFG_GRP</x:v>
      </x:c>
      <x:c r="D171" s="35" t="str">
        <x:v>테이블 유지</x:v>
      </x:c>
      <x:c r="E171" s="35" t="str">
        <x:v>SYS_CRT_DT</x:v>
      </x:c>
      <x:c r="F171" s="35" t="str">
        <x:v>SYS_GEN_DT</x:v>
      </x:c>
      <x:c r="G171" s="35" t="str">
        <x:v>이름변경</x:v>
      </x:c>
      <x:c r="H171" s="35" t="str">
        <x:v>높음</x:v>
      </x:c>
      <x:c r="I171" s="35" t="str">
        <x:v>DATETIME | NOT NULL</x:v>
      </x:c>
      <x:c r="J171" s="35" t="str">
        <x:v>DATETIME | NOT NULL</x:v>
      </x:c>
      <x:c r="K171" s="35" t="str">
        <x:v>SYS_CRT_DT → SYS_GEN_DT</x:v>
      </x:c>
      <x:c r="L171" s="35" t="str">
        <x:v>등록일자</x:v>
      </x:c>
      <x:c r="M171" s="35" t="str">
        <x:v>시스템생성일시</x:v>
      </x:c>
      <x:c r="N171" s="35" t="str">
        <x:v>중간</x:v>
      </x:c>
      <x:c r="O171" s="35" t="str">
        <x:v>SYS_SITE_CFG_GRP.SYS_CRT_DT 참조를 SYS_SITE_CFG_GRP.SYS_GEN_DT로 변경하고 SQL alias/직렬화 명칭 점검</x:v>
      </x:c>
      <x:c r="P171" s="35" t="str">
        <x:v>미착수</x:v>
      </x:c>
      <x:c r="Q171" s="35" t="str"/>
      <x:c r="R171" s="35" t="str"/>
    </x:row>
    <x:row r="172">
      <x:c r="A172" s="35" t="n">
        <x:v>168</x:v>
      </x:c>
      <x:c r="B172" s="35" t="str">
        <x:v>SYS_SITE_CFG_GRP</x:v>
      </x:c>
      <x:c r="C172" s="35" t="str">
        <x:v>SYS_SITE_CFG_GRP</x:v>
      </x:c>
      <x:c r="D172" s="35" t="str">
        <x:v>테이블 유지</x:v>
      </x:c>
      <x:c r="E172" s="35" t="str">
        <x:v>SYS_CRT_USR_ID</x:v>
      </x:c>
      <x:c r="F172" s="35" t="str">
        <x:v>SYS_CRT_USR_ID</x:v>
      </x:c>
      <x:c r="G172" s="35" t="str">
        <x:v>유지</x:v>
      </x:c>
      <x:c r="H172" s="35" t="str">
        <x:v>확실</x:v>
      </x:c>
      <x:c r="I172" s="35" t="str">
        <x:v>VARCHAR(32) | NOT NULL</x:v>
      </x:c>
      <x:c r="J172" s="35" t="str">
        <x:v>VARCHAR(32) | NOT NULL</x:v>
      </x:c>
      <x:c r="K172" s="35" t="str">
        <x:v>동일</x:v>
      </x:c>
      <x:c r="L172" s="35" t="str">
        <x:v>작성자ID</x:v>
      </x:c>
      <x:c r="M172" s="35" t="str">
        <x:v>시스템생성자ID</x:v>
      </x:c>
      <x:c r="N172" s="35" t="str">
        <x:v>낮음</x:v>
      </x:c>
      <x:c r="O172" s="35" t="str">
        <x:v>코드 변경 불필요. 회귀 테스트만 수행</x:v>
      </x:c>
      <x:c r="P172" s="35" t="str">
        <x:v>해당없음</x:v>
      </x:c>
      <x:c r="Q172" s="35" t="str"/>
      <x:c r="R172" s="35" t="str"/>
    </x:row>
    <x:row r="173">
      <x:c r="A173" s="35" t="n">
        <x:v>169</x:v>
      </x:c>
      <x:c r="B173" s="35" t="str">
        <x:v>SYS_SITE_CFG_GRP</x:v>
      </x:c>
      <x:c r="C173" s="35" t="str">
        <x:v>SYS_SITE_CFG_GRP</x:v>
      </x:c>
      <x:c r="D173" s="35" t="str">
        <x:v>테이블 유지</x:v>
      </x:c>
      <x:c r="E173" s="35" t="str">
        <x:v>SYS_UPD_DT</x:v>
      </x:c>
      <x:c r="F173" s="35" t="str">
        <x:v>SYS_MDFCN_DT</x:v>
      </x:c>
      <x:c r="G173" s="35" t="str">
        <x:v>이름+정의 변경</x:v>
      </x:c>
      <x:c r="H173" s="35" t="str">
        <x:v>높음</x:v>
      </x:c>
      <x:c r="I173" s="35" t="str">
        <x:v>DATETIME | NULL</x:v>
      </x:c>
      <x:c r="J173" s="35" t="str">
        <x:v>DATETIME | NOT NULL</x:v>
      </x:c>
      <x:c r="K173" s="35" t="str">
        <x:v>NULL → NOT NULL</x:v>
      </x:c>
      <x:c r="L173" s="35" t="str">
        <x:v>수정일자</x:v>
      </x:c>
      <x:c r="M173" s="35" t="str">
        <x:v>시스템수정일시</x:v>
      </x:c>
      <x:c r="N173" s="35" t="str">
        <x:v>낮음</x:v>
      </x:c>
      <x:c r="O173" s="35" t="str">
        <x:v>코드 변경 불필요. 회귀 테스트만 수행</x:v>
      </x:c>
      <x:c r="P173" s="35" t="str">
        <x:v>미착수</x:v>
      </x:c>
      <x:c r="Q173" s="35" t="str"/>
      <x:c r="R173" s="35" t="str"/>
    </x:row>
    <x:row r="174">
      <x:c r="A174" s="35" t="n">
        <x:v>170</x:v>
      </x:c>
      <x:c r="B174" s="35" t="str">
        <x:v>SYS_SITE_CFG_GRP</x:v>
      </x:c>
      <x:c r="C174" s="35" t="str">
        <x:v>SYS_SITE_CFG_GRP</x:v>
      </x:c>
      <x:c r="D174" s="35" t="str">
        <x:v>테이블 유지</x:v>
      </x:c>
      <x:c r="E174" s="35" t="str">
        <x:v>SYS_UPD_USR_ID</x:v>
      </x:c>
      <x:c r="F174" s="35" t="str">
        <x:v>SYS_MDFR_ID</x:v>
      </x:c>
      <x:c r="G174" s="35" t="str">
        <x:v>이름+정의 변경</x:v>
      </x:c>
      <x:c r="H174" s="35" t="str">
        <x:v>높음</x:v>
      </x:c>
      <x:c r="I174" s="35" t="str">
        <x:v>VARCHAR(32) | NULL</x:v>
      </x:c>
      <x:c r="J174" s="35" t="str">
        <x:v>VARCHAR(20) | NOT NULL</x:v>
      </x:c>
      <x:c r="K174" s="35" t="str">
        <x:v>VARCHAR(32) → VARCHAR(20); NULL → NOT NULL</x:v>
      </x:c>
      <x:c r="L174" s="35" t="str">
        <x:v>수정자ID</x:v>
      </x:c>
      <x:c r="M174" s="35" t="str">
        <x:v>시스템수정자ID</x:v>
      </x:c>
      <x:c r="N174" s="35" t="str">
        <x:v>낮음</x:v>
      </x:c>
      <x:c r="O174" s="35" t="str">
        <x:v>코드 변경 불필요. 회귀 테스트만 수행</x:v>
      </x:c>
      <x:c r="P174" s="35" t="str">
        <x:v>미착수</x:v>
      </x:c>
      <x:c r="Q174" s="35" t="str"/>
      <x:c r="R174" s="35" t="str"/>
    </x:row>
    <x:row r="175">
      <x:c r="A175" s="35" t="n">
        <x:v>171</x:v>
      </x:c>
      <x:c r="B175" s="35" t="str">
        <x:v>SYS_TOKEN_SEQ</x:v>
      </x:c>
      <x:c r="C175" s="35" t="str">
        <x:v>SYS_TOKEN_SEQ</x:v>
      </x:c>
      <x:c r="D175" s="35" t="str">
        <x:v>테이블 유지</x:v>
      </x:c>
      <x:c r="E175" s="35" t="str">
        <x:v>NEXT_NOT_CACHED_VALUE</x:v>
      </x:c>
      <x:c r="F175" s="35" t="str">
        <x:v>NXT_NOT_CHCD_VAL</x:v>
      </x:c>
      <x:c r="G175" s="35" t="str">
        <x:v>이름+정의 변경</x:v>
      </x:c>
      <x:c r="H175" s="35" t="str">
        <x:v>높음</x:v>
      </x:c>
      <x:c r="I175" s="35" t="str">
        <x:v>BIGINT(21) | NOT NULL</x:v>
      </x:c>
      <x:c r="J175" s="35" t="str">
        <x:v>BIGINT | NOT NULL</x:v>
      </x:c>
      <x:c r="K175" s="35" t="str">
        <x:v>BIGINT(21) → BIGINT</x:v>
      </x:c>
      <x:c r="L175" s="35" t="str"/>
      <x:c r="M175" s="35" t="str">
        <x:v>캐시되지않은다음값</x:v>
      </x:c>
      <x:c r="N175" s="35" t="str">
        <x:v>낮음</x:v>
      </x:c>
      <x:c r="O175" s="35" t="str">
        <x:v>코드 변경 불필요. 회귀 테스트만 수행</x:v>
      </x:c>
      <x:c r="P175" s="35" t="str">
        <x:v>미착수</x:v>
      </x:c>
      <x:c r="Q175" s="35" t="str"/>
      <x:c r="R175" s="35" t="str"/>
    </x:row>
    <x:row r="176">
      <x:c r="A176" s="35" t="n">
        <x:v>172</x:v>
      </x:c>
      <x:c r="B176" s="35" t="str">
        <x:v>SYS_TOKEN_SEQ</x:v>
      </x:c>
      <x:c r="C176" s="35" t="str">
        <x:v>SYS_TOKEN_SEQ</x:v>
      </x:c>
      <x:c r="D176" s="35" t="str">
        <x:v>테이블 유지</x:v>
      </x:c>
      <x:c r="E176" s="35" t="str">
        <x:v>MINIMUM_VALUE</x:v>
      </x:c>
      <x:c r="F176" s="35" t="str">
        <x:v>MIN_VL</x:v>
      </x:c>
      <x:c r="G176" s="35" t="str">
        <x:v>이름+정의 변경</x:v>
      </x:c>
      <x:c r="H176" s="35" t="str">
        <x:v>높음</x:v>
      </x:c>
      <x:c r="I176" s="35" t="str">
        <x:v>BIGINT(21) | NOT NULL</x:v>
      </x:c>
      <x:c r="J176" s="35" t="str">
        <x:v>BIGINT | NOT NULL</x:v>
      </x:c>
      <x:c r="K176" s="35" t="str">
        <x:v>BIGINT(21) → BIGINT</x:v>
      </x:c>
      <x:c r="L176" s="35" t="str"/>
      <x:c r="M176" s="35" t="str">
        <x:v>최소값</x:v>
      </x:c>
      <x:c r="N176" s="35" t="str">
        <x:v>낮음</x:v>
      </x:c>
      <x:c r="O176" s="35" t="str">
        <x:v>코드 변경 불필요. 회귀 테스트만 수행</x:v>
      </x:c>
      <x:c r="P176" s="35" t="str">
        <x:v>미착수</x:v>
      </x:c>
      <x:c r="Q176" s="35" t="str"/>
      <x:c r="R176" s="35" t="str"/>
    </x:row>
    <x:row r="177">
      <x:c r="A177" s="35" t="n">
        <x:v>173</x:v>
      </x:c>
      <x:c r="B177" s="35" t="str">
        <x:v>SYS_TOKEN_SEQ</x:v>
      </x:c>
      <x:c r="C177" s="35" t="str">
        <x:v>SYS_TOKEN_SEQ</x:v>
      </x:c>
      <x:c r="D177" s="35" t="str">
        <x:v>테이블 유지</x:v>
      </x:c>
      <x:c r="E177" s="35" t="str">
        <x:v>MAXIMUM_VALUE</x:v>
      </x:c>
      <x:c r="F177" s="35" t="str">
        <x:v>MAX_VL</x:v>
      </x:c>
      <x:c r="G177" s="35" t="str">
        <x:v>이름+정의 변경</x:v>
      </x:c>
      <x:c r="H177" s="35" t="str">
        <x:v>높음</x:v>
      </x:c>
      <x:c r="I177" s="35" t="str">
        <x:v>BIGINT(21) | NOT NULL</x:v>
      </x:c>
      <x:c r="J177" s="35" t="str">
        <x:v>BIGINT | NOT NULL</x:v>
      </x:c>
      <x:c r="K177" s="35" t="str">
        <x:v>BIGINT(21) → BIGINT</x:v>
      </x:c>
      <x:c r="L177" s="35" t="str"/>
      <x:c r="M177" s="35" t="str">
        <x:v>최대값</x:v>
      </x:c>
      <x:c r="N177" s="35" t="str">
        <x:v>낮음</x:v>
      </x:c>
      <x:c r="O177" s="35" t="str">
        <x:v>코드 변경 불필요. 회귀 테스트만 수행</x:v>
      </x:c>
      <x:c r="P177" s="35" t="str">
        <x:v>미착수</x:v>
      </x:c>
      <x:c r="Q177" s="35" t="str"/>
      <x:c r="R177" s="35" t="str"/>
    </x:row>
    <x:row r="178">
      <x:c r="A178" s="35" t="n">
        <x:v>174</x:v>
      </x:c>
      <x:c r="B178" s="35" t="str">
        <x:v>SYS_TOKEN_SEQ</x:v>
      </x:c>
      <x:c r="C178" s="35" t="str">
        <x:v>SYS_TOKEN_SEQ</x:v>
      </x:c>
      <x:c r="D178" s="35" t="str">
        <x:v>테이블 유지</x:v>
      </x:c>
      <x:c r="E178" s="35" t="str">
        <x:v>START_VALUE</x:v>
      </x:c>
      <x:c r="F178" s="35" t="str">
        <x:v>BGNG_VL</x:v>
      </x:c>
      <x:c r="G178" s="35" t="str">
        <x:v>이름+정의 변경</x:v>
      </x:c>
      <x:c r="H178" s="35" t="str">
        <x:v>높음</x:v>
      </x:c>
      <x:c r="I178" s="35" t="str">
        <x:v>BIGINT(21) | NOT NULL</x:v>
      </x:c>
      <x:c r="J178" s="35" t="str">
        <x:v>BIGINT | NOT NULL</x:v>
      </x:c>
      <x:c r="K178" s="35" t="str">
        <x:v>BIGINT(21) → BIGINT</x:v>
      </x:c>
      <x:c r="L178" s="35" t="str">
        <x:v>start value when sequences is created or value if RESTART is used</x:v>
      </x:c>
      <x:c r="M178" s="35" t="str">
        <x:v>시작값</x:v>
      </x:c>
      <x:c r="N178" s="35" t="str">
        <x:v>낮음</x:v>
      </x:c>
      <x:c r="O178" s="35" t="str">
        <x:v>코드 변경 불필요. 회귀 테스트만 수행</x:v>
      </x:c>
      <x:c r="P178" s="35" t="str">
        <x:v>미착수</x:v>
      </x:c>
      <x:c r="Q178" s="35" t="str"/>
      <x:c r="R178" s="35" t="str"/>
    </x:row>
    <x:row r="179">
      <x:c r="A179" s="35" t="n">
        <x:v>175</x:v>
      </x:c>
      <x:c r="B179" s="35" t="str">
        <x:v>SYS_TOKEN_SEQ</x:v>
      </x:c>
      <x:c r="C179" s="35" t="str">
        <x:v>SYS_TOKEN_SEQ</x:v>
      </x:c>
      <x:c r="D179" s="35" t="str">
        <x:v>테이블 유지</x:v>
      </x:c>
      <x:c r="E179" s="35" t="str">
        <x:v>INCREMENT</x:v>
      </x:c>
      <x:c r="F179" s="35" t="str">
        <x:v>INCRS_VL</x:v>
      </x:c>
      <x:c r="G179" s="35" t="str">
        <x:v>이름+정의 변경</x:v>
      </x:c>
      <x:c r="H179" s="35" t="str">
        <x:v>높음</x:v>
      </x:c>
      <x:c r="I179" s="35" t="str">
        <x:v>BIGINT(21) | NOT NULL</x:v>
      </x:c>
      <x:c r="J179" s="35" t="str">
        <x:v>BIGINT | NOT NULL</x:v>
      </x:c>
      <x:c r="K179" s="35" t="str">
        <x:v>BIGINT(21) → BIGINT</x:v>
      </x:c>
      <x:c r="L179" s="35" t="str">
        <x:v>increment value</x:v>
      </x:c>
      <x:c r="M179" s="35" t="str">
        <x:v>증가값</x:v>
      </x:c>
      <x:c r="N179" s="35" t="str">
        <x:v>낮음</x:v>
      </x:c>
      <x:c r="O179" s="35" t="str">
        <x:v>코드 변경 불필요. 회귀 테스트만 수행</x:v>
      </x:c>
      <x:c r="P179" s="35" t="str">
        <x:v>미착수</x:v>
      </x:c>
      <x:c r="Q179" s="35" t="str"/>
      <x:c r="R179" s="35" t="str"/>
    </x:row>
    <x:row r="180">
      <x:c r="A180" s="35" t="n">
        <x:v>176</x:v>
      </x:c>
      <x:c r="B180" s="35" t="str">
        <x:v>SYS_TOKEN_SEQ</x:v>
      </x:c>
      <x:c r="C180" s="35" t="str">
        <x:v>SYS_TOKEN_SEQ</x:v>
      </x:c>
      <x:c r="D180" s="35" t="str">
        <x:v>테이블 유지</x:v>
      </x:c>
      <x:c r="E180" s="35" t="str">
        <x:v>CACHE_SIZE</x:v>
      </x:c>
      <x:c r="F180" s="35" t="str">
        <x:v>CACHE_SZ</x:v>
      </x:c>
      <x:c r="G180" s="35" t="str">
        <x:v>이름+정의 변경</x:v>
      </x:c>
      <x:c r="H180" s="35" t="str">
        <x:v>높음</x:v>
      </x:c>
      <x:c r="I180" s="35" t="str">
        <x:v>BIGINT(21) UNSIGNED | NOT NULL</x:v>
      </x:c>
      <x:c r="J180" s="35" t="str">
        <x:v>BIGINT | NOT NULL</x:v>
      </x:c>
      <x:c r="K180" s="35" t="str">
        <x:v>BIGINT(21) UNSIGNED → BIGINT</x:v>
      </x:c>
      <x:c r="L180" s="35" t="str"/>
      <x:c r="M180" s="35" t="str">
        <x:v>캐시크기</x:v>
      </x:c>
      <x:c r="N180" s="35" t="str">
        <x:v>낮음</x:v>
      </x:c>
      <x:c r="O180" s="35" t="str">
        <x:v>코드 변경 불필요. 회귀 테스트만 수행</x:v>
      </x:c>
      <x:c r="P180" s="35" t="str">
        <x:v>미착수</x:v>
      </x:c>
      <x:c r="Q180" s="35" t="str"/>
      <x:c r="R180" s="35" t="str"/>
    </x:row>
    <x:row r="181">
      <x:c r="A181" s="35" t="n">
        <x:v>177</x:v>
      </x:c>
      <x:c r="B181" s="35" t="str">
        <x:v>SYS_TOKEN_SEQ</x:v>
      </x:c>
      <x:c r="C181" s="35" t="str">
        <x:v>SYS_TOKEN_SEQ</x:v>
      </x:c>
      <x:c r="D181" s="35" t="str">
        <x:v>테이블 유지</x:v>
      </x:c>
      <x:c r="E181" s="35" t="str">
        <x:v>CYCLE_OPTION</x:v>
      </x:c>
      <x:c r="F181" s="35" t="str">
        <x:v>CYCLE_OPT</x:v>
      </x:c>
      <x:c r="G181" s="35" t="str">
        <x:v>이름+정의 변경</x:v>
      </x:c>
      <x:c r="H181" s="35" t="str">
        <x:v>높음</x:v>
      </x:c>
      <x:c r="I181" s="35" t="str">
        <x:v>TINYINT(1) UNSIGNED | NOT NULL</x:v>
      </x:c>
      <x:c r="J181" s="35" t="str">
        <x:v>TINYINT | NOT NULL</x:v>
      </x:c>
      <x:c r="K181" s="35" t="str">
        <x:v>TINYINT(1) UNSIGNED → TINYINT</x:v>
      </x:c>
      <x:c r="L181" s="35" t="str">
        <x:v>0 if no cycles are allowed, 1 if the sequence should begin a new cycle when maximum_value is passed</x:v>
      </x:c>
      <x:c r="M181" s="35" t="str">
        <x:v>사이클옵션</x:v>
      </x:c>
      <x:c r="N181" s="35" t="str">
        <x:v>낮음</x:v>
      </x:c>
      <x:c r="O181" s="35" t="str">
        <x:v>코드 변경 불필요. 회귀 테스트만 수행</x:v>
      </x:c>
      <x:c r="P181" s="35" t="str">
        <x:v>미착수</x:v>
      </x:c>
      <x:c r="Q181" s="35" t="str"/>
      <x:c r="R181" s="35" t="str"/>
    </x:row>
    <x:row r="182">
      <x:c r="A182" s="35" t="n">
        <x:v>178</x:v>
      </x:c>
      <x:c r="B182" s="35" t="str">
        <x:v>SYS_TOKEN_SEQ</x:v>
      </x:c>
      <x:c r="C182" s="35" t="str">
        <x:v>SYS_TOKEN_SEQ</x:v>
      </x:c>
      <x:c r="D182" s="35" t="str">
        <x:v>테이블 유지</x:v>
      </x:c>
      <x:c r="E182" s="35" t="str">
        <x:v>CYCLE_COUNT</x:v>
      </x:c>
      <x:c r="F182" s="35" t="str"/>
      <x:c r="G182" s="35" t="str">
        <x:v>컬럼 삭제</x:v>
      </x:c>
      <x:c r="H182" s="35" t="str">
        <x:v>확실</x:v>
      </x:c>
      <x:c r="I182" s="35" t="str">
        <x:v>BIGINT(21) | NOT NULL</x:v>
      </x:c>
      <x:c r="J182" s="35" t="str"/>
      <x:c r="K182" s="35" t="str">
        <x:v>BIGINT(21) | NOT NULL</x:v>
      </x:c>
      <x:c r="L182" s="35" t="str">
        <x:v>How many cycles have been done</x:v>
      </x:c>
      <x:c r="M182" s="35" t="str"/>
      <x:c r="N182" s="35" t="str">
        <x:v>높음</x:v>
      </x:c>
      <x:c r="O182" s="35" t="str">
        <x:v>데이터 보존 여부 결정 후 SYS_TOKEN_SEQ.CYCLE_COUNT 참조(Entity/DTO/SQL/XML)을 제거 또는 대체</x:v>
      </x:c>
      <x:c r="P182" s="35" t="str">
        <x:v>미착수</x:v>
      </x:c>
      <x:c r="Q182" s="35" t="str"/>
      <x:c r="R182" s="35" t="str"/>
    </x:row>
    <x:row r="183">
      <x:c r="A183" s="35" t="n">
        <x:v>179</x:v>
      </x:c>
      <x:c r="B183" s="35" t="str">
        <x:v>SYS_TOKEN_SEQ</x:v>
      </x:c>
      <x:c r="C183" s="35" t="str">
        <x:v>SYS_TOKEN_SEQ</x:v>
      </x:c>
      <x:c r="D183" s="35" t="str">
        <x:v>테이블 유지</x:v>
      </x:c>
      <x:c r="E183" s="35" t="str"/>
      <x:c r="F183" s="35" t="str">
        <x:v>CYCLE_CNT</x:v>
      </x:c>
      <x:c r="G183" s="35" t="str">
        <x:v>컬럼 추가</x:v>
      </x:c>
      <x:c r="H183" s="35" t="str">
        <x:v>확실</x:v>
      </x:c>
      <x:c r="I183" s="35" t="str"/>
      <x:c r="J183" s="35" t="str">
        <x:v>BIGINT | NOT NULL</x:v>
      </x:c>
      <x:c r="K183" s="35" t="str">
        <x:v>BIGINT | NOT NULL</x:v>
      </x:c>
      <x:c r="L183" s="35" t="str"/>
      <x:c r="M183" s="35" t="str">
        <x:v>사이클횟수</x:v>
      </x:c>
      <x:c r="N183" s="35" t="str">
        <x:v>높음</x:v>
      </x:c>
      <x:c r="O183" s="35" t="str">
        <x:v>SYS_TOKEN_SEQ.CYCLE_CNT 필드를 Entity/DTO/입력·조회 SQL에 반영하고 기존 데이터 채움 정책 확인</x:v>
      </x:c>
      <x:c r="P183" s="35" t="str">
        <x:v>미착수</x:v>
      </x:c>
      <x:c r="Q183" s="35" t="str"/>
      <x:c r="R183" s="35" t="str"/>
    </x:row>
    <x:row r="184">
      <x:c r="A184" s="35" t="n">
        <x:v>180</x:v>
      </x:c>
      <x:c r="B184" s="35" t="str">
        <x:v>SYS_USER</x:v>
      </x:c>
      <x:c r="C184" s="35" t="str">
        <x:v>SYS_USER</x:v>
      </x:c>
      <x:c r="D184" s="35" t="str">
        <x:v>테이블 유지</x:v>
      </x:c>
      <x:c r="E184" s="35" t="str">
        <x:v>ID</x:v>
      </x:c>
      <x:c r="F184" s="35" t="str">
        <x:v>ID</x:v>
      </x:c>
      <x:c r="G184" s="35" t="str">
        <x:v>정의 변경</x:v>
      </x:c>
      <x:c r="H184" s="35" t="str">
        <x:v>확실</x:v>
      </x:c>
      <x:c r="I184" s="35" t="str">
        <x:v>BIGINT | NULL | PK | AUTO_INCREMENT</x:v>
      </x:c>
      <x:c r="J184" s="35" t="str">
        <x:v>BIGINT | NULL | PK</x:v>
      </x:c>
      <x:c r="K184" s="35" t="str">
        <x:v>AUTO_INCREMENT Y → N</x:v>
      </x:c>
      <x:c r="L184" s="35" t="str">
        <x:v>시퀀스 아이디</x:v>
      </x:c>
      <x:c r="M184" s="35" t="str">
        <x:v>시퀀스아이디</x:v>
      </x:c>
      <x:c r="N184" s="35" t="str">
        <x:v>높음</x:v>
      </x:c>
      <x:c r="O184" s="35" t="str">
        <x:v>SYS_USER.ID의 타입·NULL·기본값·키 정의에 맞춰 스키마와 검증 로직 수정</x:v>
      </x:c>
      <x:c r="P184" s="35" t="str">
        <x:v>미착수</x:v>
      </x:c>
      <x:c r="Q184" s="35" t="str"/>
      <x:c r="R184" s="35" t="str"/>
    </x:row>
    <x:row r="185">
      <x:c r="A185" s="35" t="n">
        <x:v>181</x:v>
      </x:c>
      <x:c r="B185" s="35" t="str">
        <x:v>SYS_USER</x:v>
      </x:c>
      <x:c r="C185" s="35" t="str">
        <x:v>SYS_USER</x:v>
      </x:c>
      <x:c r="D185" s="35" t="str">
        <x:v>테이블 유지</x:v>
      </x:c>
      <x:c r="E185" s="35" t="str">
        <x:v>EMAIL</x:v>
      </x:c>
      <x:c r="F185" s="35" t="str">
        <x:v>EML</x:v>
      </x:c>
      <x:c r="G185" s="35" t="str">
        <x:v>이름변경</x:v>
      </x:c>
      <x:c r="H185" s="35" t="str">
        <x:v>높음</x:v>
      </x:c>
      <x:c r="I185" s="35" t="str">
        <x:v>VARCHAR(255) | NULL</x:v>
      </x:c>
      <x:c r="J185" s="35" t="str">
        <x:v>VARCHAR(255) | NULL</x:v>
      </x:c>
      <x:c r="K185" s="35" t="str">
        <x:v>EMAIL → EML</x:v>
      </x:c>
      <x:c r="L185" s="35" t="str">
        <x:v>이메일</x:v>
      </x:c>
      <x:c r="M185" s="35" t="str">
        <x:v>이메일</x:v>
      </x:c>
      <x:c r="N185" s="35" t="str">
        <x:v>중간</x:v>
      </x:c>
      <x:c r="O185" s="35" t="str">
        <x:v>SYS_USER.EMAIL 참조를 SYS_USER.EML로 변경하고 SQL alias/직렬화 명칭 점검</x:v>
      </x:c>
      <x:c r="P185" s="35" t="str">
        <x:v>미착수</x:v>
      </x:c>
      <x:c r="Q185" s="35" t="str"/>
      <x:c r="R185" s="35" t="str"/>
    </x:row>
    <x:row r="186">
      <x:c r="A186" s="35" t="n">
        <x:v>182</x:v>
      </x:c>
      <x:c r="B186" s="35" t="str">
        <x:v>SYS_USER</x:v>
      </x:c>
      <x:c r="C186" s="35" t="str">
        <x:v>SYS_USER</x:v>
      </x:c>
      <x:c r="D186" s="35" t="str">
        <x:v>테이블 유지</x:v>
      </x:c>
      <x:c r="E186" s="35" t="str">
        <x:v>PWD</x:v>
      </x:c>
      <x:c r="F186" s="35" t="str">
        <x:v>PSWD</x:v>
      </x:c>
      <x:c r="G186" s="35" t="str">
        <x:v>이름변경</x:v>
      </x:c>
      <x:c r="H186" s="35" t="str">
        <x:v>높음</x:v>
      </x:c>
      <x:c r="I186" s="35" t="str">
        <x:v>VARCHAR(255) | NULL</x:v>
      </x:c>
      <x:c r="J186" s="35" t="str">
        <x:v>VARCHAR(255) | NULL</x:v>
      </x:c>
      <x:c r="K186" s="35" t="str">
        <x:v>PWD → PSWD</x:v>
      </x:c>
      <x:c r="L186" s="35" t="str">
        <x:v>비밀번호</x:v>
      </x:c>
      <x:c r="M186" s="35" t="str">
        <x:v>비밀번호</x:v>
      </x:c>
      <x:c r="N186" s="35" t="str">
        <x:v>중간</x:v>
      </x:c>
      <x:c r="O186" s="35" t="str">
        <x:v>SYS_USER.PWD 참조를 SYS_USER.PSWD로 변경하고 SQL alias/직렬화 명칭 점검</x:v>
      </x:c>
      <x:c r="P186" s="35" t="str">
        <x:v>미착수</x:v>
      </x:c>
      <x:c r="Q186" s="35" t="str"/>
      <x:c r="R186" s="35" t="str"/>
    </x:row>
    <x:row r="187">
      <x:c r="A187" s="35" t="n">
        <x:v>183</x:v>
      </x:c>
      <x:c r="B187" s="35" t="str">
        <x:v>SYS_USER</x:v>
      </x:c>
      <x:c r="C187" s="35" t="str">
        <x:v>SYS_USER</x:v>
      </x:c>
      <x:c r="D187" s="35" t="str">
        <x:v>테이블 유지</x:v>
      </x:c>
      <x:c r="E187" s="35" t="str">
        <x:v>ROLE</x:v>
      </x:c>
      <x:c r="F187" s="35" t="str">
        <x:v>ROLE</x:v>
      </x:c>
      <x:c r="G187" s="35" t="str">
        <x:v>유지</x:v>
      </x:c>
      <x:c r="H187" s="35" t="str">
        <x:v>확실</x:v>
      </x:c>
      <x:c r="I187" s="35" t="str">
        <x:v>VARCHAR(255) | NULL</x:v>
      </x:c>
      <x:c r="J187" s="35" t="str">
        <x:v>VARCHAR(255) | NULL</x:v>
      </x:c>
      <x:c r="K187" s="35" t="str">
        <x:v>동일</x:v>
      </x:c>
      <x:c r="L187" s="35" t="str">
        <x:v>역할</x:v>
      </x:c>
      <x:c r="M187" s="35" t="str">
        <x:v>역할</x:v>
      </x:c>
      <x:c r="N187" s="35" t="str">
        <x:v>낮음</x:v>
      </x:c>
      <x:c r="O187" s="35" t="str">
        <x:v>코드 변경 불필요. 회귀 테스트만 수행</x:v>
      </x:c>
      <x:c r="P187" s="35" t="str">
        <x:v>해당없음</x:v>
      </x:c>
      <x:c r="Q187" s="35" t="str"/>
      <x:c r="R187" s="35" t="str"/>
    </x:row>
    <x:row r="188">
      <x:c r="A188" s="35" t="n">
        <x:v>184</x:v>
      </x:c>
      <x:c r="B188" s="35" t="str">
        <x:v>SYS_USER</x:v>
      </x:c>
      <x:c r="C188" s="35" t="str">
        <x:v>SYS_USER</x:v>
      </x:c>
      <x:c r="D188" s="35" t="str">
        <x:v>테이블 유지</x:v>
      </x:c>
      <x:c r="E188" s="35" t="str">
        <x:v>USER_ID</x:v>
      </x:c>
      <x:c r="F188" s="35" t="str">
        <x:v>USER_ID</x:v>
      </x:c>
      <x:c r="G188" s="35" t="str">
        <x:v>유지</x:v>
      </x:c>
      <x:c r="H188" s="35" t="str">
        <x:v>확실</x:v>
      </x:c>
      <x:c r="I188" s="35" t="str">
        <x:v>VARCHAR(255) | NULL</x:v>
      </x:c>
      <x:c r="J188" s="35" t="str">
        <x:v>VARCHAR(255) | NULL</x:v>
      </x:c>
      <x:c r="K188" s="35" t="str">
        <x:v>동일</x:v>
      </x:c>
      <x:c r="L188" s="35" t="str">
        <x:v>유저아이디</x:v>
      </x:c>
      <x:c r="M188" s="35" t="str">
        <x:v>사용자ID</x:v>
      </x:c>
      <x:c r="N188" s="35" t="str">
        <x:v>낮음</x:v>
      </x:c>
      <x:c r="O188" s="35" t="str">
        <x:v>코드 변경 불필요. 회귀 테스트만 수행</x:v>
      </x:c>
      <x:c r="P188" s="35" t="str">
        <x:v>해당없음</x:v>
      </x:c>
      <x:c r="Q188" s="35" t="str"/>
      <x:c r="R188" s="35" t="str"/>
    </x:row>
    <x:row r="189">
      <x:c r="A189" s="35" t="n">
        <x:v>185</x:v>
      </x:c>
      <x:c r="B189" s="35" t="str">
        <x:v>SYS_USER</x:v>
      </x:c>
      <x:c r="C189" s="35" t="str">
        <x:v>SYS_USER</x:v>
      </x:c>
      <x:c r="D189" s="35" t="str">
        <x:v>테이블 유지</x:v>
      </x:c>
      <x:c r="E189" s="35" t="str">
        <x:v>OFFC_CD</x:v>
      </x:c>
      <x:c r="F189" s="35" t="str">
        <x:v>INST_CD</x:v>
      </x:c>
      <x:c r="G189" s="35" t="str">
        <x:v>이름변경</x:v>
      </x:c>
      <x:c r="H189" s="35" t="str">
        <x:v>높음</x:v>
      </x:c>
      <x:c r="I189" s="35" t="str">
        <x:v>VARCHAR(7) | NULL</x:v>
      </x:c>
      <x:c r="J189" s="35" t="str">
        <x:v>VARCHAR(7) | NULL</x:v>
      </x:c>
      <x:c r="K189" s="35" t="str">
        <x:v>OFFC_CD → INST_CD</x:v>
      </x:c>
      <x:c r="L189" s="35" t="str">
        <x:v>소속코드</x:v>
      </x:c>
      <x:c r="M189" s="35" t="str">
        <x:v>기관코드</x:v>
      </x:c>
      <x:c r="N189" s="35" t="str">
        <x:v>중간</x:v>
      </x:c>
      <x:c r="O189" s="35" t="str">
        <x:v>SYS_USER.OFFC_CD 참조를 SYS_USER.INST_CD로 변경하고 SQL alias/직렬화 명칭 점검</x:v>
      </x:c>
      <x:c r="P189" s="35" t="str">
        <x:v>미착수</x:v>
      </x:c>
      <x:c r="Q189" s="35" t="str"/>
      <x:c r="R189" s="35" t="str"/>
    </x:row>
    <x:row r="190">
      <x:c r="A190" s="35" t="n">
        <x:v>186</x:v>
      </x:c>
      <x:c r="B190" s="35" t="str">
        <x:v>SYS_USER</x:v>
      </x:c>
      <x:c r="C190" s="35" t="str">
        <x:v>SYS_USER</x:v>
      </x:c>
      <x:c r="D190" s="35" t="str">
        <x:v>테이블 유지</x:v>
      </x:c>
      <x:c r="E190" s="35" t="str">
        <x:v>SYS_CRT_USR_ID</x:v>
      </x:c>
      <x:c r="F190" s="35" t="str">
        <x:v>SYS_CRT_USR_ID</x:v>
      </x:c>
      <x:c r="G190" s="35" t="str">
        <x:v>유지</x:v>
      </x:c>
      <x:c r="H190" s="35" t="str">
        <x:v>확실</x:v>
      </x:c>
      <x:c r="I190" s="35" t="str">
        <x:v>VARCHAR(50) | NULL</x:v>
      </x:c>
      <x:c r="J190" s="35" t="str">
        <x:v>VARCHAR(50) | NULL</x:v>
      </x:c>
      <x:c r="K190" s="35" t="str">
        <x:v>동일</x:v>
      </x:c>
      <x:c r="L190" s="35" t="str">
        <x:v>작성자ID</x:v>
      </x:c>
      <x:c r="M190" s="35" t="str">
        <x:v>시스템생성자ID</x:v>
      </x:c>
      <x:c r="N190" s="35" t="str">
        <x:v>낮음</x:v>
      </x:c>
      <x:c r="O190" s="35" t="str">
        <x:v>코드 변경 불필요. 회귀 테스트만 수행</x:v>
      </x:c>
      <x:c r="P190" s="35" t="str">
        <x:v>해당없음</x:v>
      </x:c>
      <x:c r="Q190" s="35" t="str"/>
      <x:c r="R190" s="35" t="str"/>
    </x:row>
    <x:row r="191">
      <x:c r="A191" s="35" t="n">
        <x:v>187</x:v>
      </x:c>
      <x:c r="B191" s="35" t="str">
        <x:v>SYS_USER</x:v>
      </x:c>
      <x:c r="C191" s="35" t="str">
        <x:v>SYS_USER</x:v>
      </x:c>
      <x:c r="D191" s="35" t="str">
        <x:v>테이블 유지</x:v>
      </x:c>
      <x:c r="E191" s="35" t="str">
        <x:v>SYS_CRT_DT</x:v>
      </x:c>
      <x:c r="F191" s="35" t="str">
        <x:v>SYS_GEN_DT</x:v>
      </x:c>
      <x:c r="G191" s="35" t="str">
        <x:v>이름변경</x:v>
      </x:c>
      <x:c r="H191" s="35" t="str">
        <x:v>높음</x:v>
      </x:c>
      <x:c r="I191" s="35" t="str">
        <x:v>DATETIME | NULL</x:v>
      </x:c>
      <x:c r="J191" s="35" t="str">
        <x:v>DATETIME | NULL</x:v>
      </x:c>
      <x:c r="K191" s="35" t="str">
        <x:v>SYS_CRT_DT → SYS_GEN_DT</x:v>
      </x:c>
      <x:c r="L191" s="35" t="str">
        <x:v>작성일자</x:v>
      </x:c>
      <x:c r="M191" s="35" t="str">
        <x:v>시스템생성일시</x:v>
      </x:c>
      <x:c r="N191" s="35" t="str">
        <x:v>중간</x:v>
      </x:c>
      <x:c r="O191" s="35" t="str">
        <x:v>SYS_USER.SYS_CRT_DT 참조를 SYS_USER.SYS_GEN_DT로 변경하고 SQL alias/직렬화 명칭 점검</x:v>
      </x:c>
      <x:c r="P191" s="35" t="str">
        <x:v>미착수</x:v>
      </x:c>
      <x:c r="Q191" s="35" t="str"/>
      <x:c r="R191" s="35" t="str"/>
    </x:row>
    <x:row r="192">
      <x:c r="A192" s="35" t="n">
        <x:v>188</x:v>
      </x:c>
      <x:c r="B192" s="35" t="str">
        <x:v>SYS_USER</x:v>
      </x:c>
      <x:c r="C192" s="35" t="str">
        <x:v>SYS_USER</x:v>
      </x:c>
      <x:c r="D192" s="35" t="str">
        <x:v>테이블 유지</x:v>
      </x:c>
      <x:c r="E192" s="35" t="str">
        <x:v>SYS_UPD_USR_ID</x:v>
      </x:c>
      <x:c r="F192" s="35" t="str">
        <x:v>SYS_MDFR_ID</x:v>
      </x:c>
      <x:c r="G192" s="35" t="str">
        <x:v>이름+정의 변경</x:v>
      </x:c>
      <x:c r="H192" s="35" t="str">
        <x:v>높음</x:v>
      </x:c>
      <x:c r="I192" s="35" t="str">
        <x:v>VARCHAR(50) | NULL</x:v>
      </x:c>
      <x:c r="J192" s="35" t="str">
        <x:v>VARCHAR(20) | NULL</x:v>
      </x:c>
      <x:c r="K192" s="35" t="str">
        <x:v>VARCHAR(50) → VARCHAR(20)</x:v>
      </x:c>
      <x:c r="L192" s="35" t="str">
        <x:v>수정자ID</x:v>
      </x:c>
      <x:c r="M192" s="35" t="str">
        <x:v>시스템수정자ID</x:v>
      </x:c>
      <x:c r="N192" s="35" t="str">
        <x:v>낮음</x:v>
      </x:c>
      <x:c r="O192" s="35" t="str">
        <x:v>코드 변경 불필요. 회귀 테스트만 수행</x:v>
      </x:c>
      <x:c r="P192" s="35" t="str">
        <x:v>미착수</x:v>
      </x:c>
      <x:c r="Q192" s="35" t="str"/>
      <x:c r="R192" s="35" t="str"/>
    </x:row>
    <x:row r="193">
      <x:c r="A193" s="35" t="n">
        <x:v>189</x:v>
      </x:c>
      <x:c r="B193" s="35" t="str">
        <x:v>SYS_USER</x:v>
      </x:c>
      <x:c r="C193" s="35" t="str">
        <x:v>SYS_USER</x:v>
      </x:c>
      <x:c r="D193" s="35" t="str">
        <x:v>테이블 유지</x:v>
      </x:c>
      <x:c r="E193" s="35" t="str">
        <x:v>SYS_UPD_DT</x:v>
      </x:c>
      <x:c r="F193" s="35" t="str">
        <x:v>SYS_MDFCN_DT</x:v>
      </x:c>
      <x:c r="G193" s="35" t="str">
        <x:v>이름변경</x:v>
      </x:c>
      <x:c r="H193" s="35" t="str">
        <x:v>높음</x:v>
      </x:c>
      <x:c r="I193" s="35" t="str">
        <x:v>DATETIME | NULL</x:v>
      </x:c>
      <x:c r="J193" s="35" t="str">
        <x:v>DATETIME | NULL</x:v>
      </x:c>
      <x:c r="K193" s="35" t="str">
        <x:v>SYS_UPD_DT → SYS_MDFCN_DT</x:v>
      </x:c>
      <x:c r="L193" s="35" t="str">
        <x:v>수정일자</x:v>
      </x:c>
      <x:c r="M193" s="35" t="str">
        <x:v>시스템수정일시</x:v>
      </x:c>
      <x:c r="N193" s="35" t="str">
        <x:v>중간</x:v>
      </x:c>
      <x:c r="O193" s="35" t="str">
        <x:v>SYS_USER.SYS_UPD_DT 참조를 SYS_USER.SYS_MDFCN_DT로 변경하고 SQL alias/직렬화 명칭 점검</x:v>
      </x:c>
      <x:c r="P193" s="35" t="str">
        <x:v>미착수</x:v>
      </x:c>
      <x:c r="Q193" s="35" t="str"/>
      <x:c r="R193" s="35" t="str"/>
    </x:row>
    <x:row r="194">
      <x:c r="A194" s="35" t="n">
        <x:v>190</x:v>
      </x:c>
      <x:c r="B194" s="35" t="str">
        <x:v>SYS_USER</x:v>
      </x:c>
      <x:c r="C194" s="35" t="str">
        <x:v>SYS_USER</x:v>
      </x:c>
      <x:c r="D194" s="35" t="str">
        <x:v>테이블 유지</x:v>
      </x:c>
      <x:c r="E194" s="35" t="str">
        <x:v>USER_NM</x:v>
      </x:c>
      <x:c r="F194" s="35" t="str">
        <x:v>FNM</x:v>
      </x:c>
      <x:c r="G194" s="35" t="str">
        <x:v>이름변경</x:v>
      </x:c>
      <x:c r="H194" s="35" t="str">
        <x:v>중간</x:v>
      </x:c>
      <x:c r="I194" s="35" t="str">
        <x:v>VARCHAR(100) | NULL</x:v>
      </x:c>
      <x:c r="J194" s="35" t="str">
        <x:v>VARCHAR(100) | NULL</x:v>
      </x:c>
      <x:c r="K194" s="35" t="str">
        <x:v>USER_NM → FNM</x:v>
      </x:c>
      <x:c r="L194" s="35" t="str">
        <x:v>사용자이름</x:v>
      </x:c>
      <x:c r="M194" s="35" t="str">
        <x:v>이름</x:v>
      </x:c>
      <x:c r="N194" s="35" t="str">
        <x:v>중간</x:v>
      </x:c>
      <x:c r="O194" s="35" t="str">
        <x:v>SYS_USER.USER_NM 참조를 SYS_USER.FNM로 변경하고 SQL alias/직렬화 명칭 점검</x:v>
      </x:c>
      <x:c r="P194" s="35" t="str">
        <x:v>미착수</x:v>
      </x:c>
      <x:c r="Q194" s="35" t="str"/>
      <x:c r="R194" s="35" t="str"/>
    </x:row>
    <x:row r="195">
      <x:c r="A195" s="35" t="n">
        <x:v>191</x:v>
      </x:c>
      <x:c r="B195" s="35" t="str">
        <x:v>SYS_USER</x:v>
      </x:c>
      <x:c r="C195" s="35" t="str">
        <x:v>SYS_USER</x:v>
      </x:c>
      <x:c r="D195" s="35" t="str">
        <x:v>테이블 유지</x:v>
      </x:c>
      <x:c r="E195" s="35" t="str">
        <x:v>TEL</x:v>
      </x:c>
      <x:c r="F195" s="35" t="str">
        <x:v>TELNO</x:v>
      </x:c>
      <x:c r="G195" s="35" t="str">
        <x:v>이름+정의 변경</x:v>
      </x:c>
      <x:c r="H195" s="35" t="str">
        <x:v>높음</x:v>
      </x:c>
      <x:c r="I195" s="35" t="str">
        <x:v>VARCHAR(11) | NULL</x:v>
      </x:c>
      <x:c r="J195" s="35" t="str">
        <x:v>VARCHAR(8) | NULL</x:v>
      </x:c>
      <x:c r="K195" s="35" t="str">
        <x:v>VARCHAR(11) → VARCHAR(8)</x:v>
      </x:c>
      <x:c r="L195" s="35" t="str">
        <x:v>전화번호</x:v>
      </x:c>
      <x:c r="M195" s="35" t="str">
        <x:v>전화번호</x:v>
      </x:c>
      <x:c r="N195" s="35" t="str">
        <x:v>낮음</x:v>
      </x:c>
      <x:c r="O195" s="35" t="str">
        <x:v>코드 변경 불필요. 회귀 테스트만 수행</x:v>
      </x:c>
      <x:c r="P195" s="35" t="str">
        <x:v>미착수</x:v>
      </x:c>
      <x:c r="Q195" s="35" t="str"/>
      <x:c r="R195" s="35" t="str"/>
    </x:row>
    <x:row r="196">
      <x:c r="A196" s="35" t="n">
        <x:v>192</x:v>
      </x:c>
      <x:c r="B196" s="35" t="str">
        <x:v>SYS_USER</x:v>
      </x:c>
      <x:c r="C196" s="35" t="str">
        <x:v>SYS_USER</x:v>
      </x:c>
      <x:c r="D196" s="35" t="str">
        <x:v>테이블 유지</x:v>
      </x:c>
      <x:c r="E196" s="35" t="str">
        <x:v>ADDR</x:v>
      </x:c>
      <x:c r="F196" s="35" t="str">
        <x:v>ADDR</x:v>
      </x:c>
      <x:c r="G196" s="35" t="str">
        <x:v>유지</x:v>
      </x:c>
      <x:c r="H196" s="35" t="str">
        <x:v>확실</x:v>
      </x:c>
      <x:c r="I196" s="35" t="str">
        <x:v>VARCHAR(100) | NULL</x:v>
      </x:c>
      <x:c r="J196" s="35" t="str">
        <x:v>VARCHAR(100) | NULL</x:v>
      </x:c>
      <x:c r="K196" s="35" t="str">
        <x:v>동일</x:v>
      </x:c>
      <x:c r="L196" s="35" t="str">
        <x:v>주소</x:v>
      </x:c>
      <x:c r="M196" s="35" t="str">
        <x:v>주소</x:v>
      </x:c>
      <x:c r="N196" s="35" t="str">
        <x:v>낮음</x:v>
      </x:c>
      <x:c r="O196" s="35" t="str">
        <x:v>코드 변경 불필요. 회귀 테스트만 수행</x:v>
      </x:c>
      <x:c r="P196" s="35" t="str">
        <x:v>해당없음</x:v>
      </x:c>
      <x:c r="Q196" s="35" t="str"/>
      <x:c r="R196" s="35" t="str"/>
    </x:row>
    <x:row r="197">
      <x:c r="A197" s="35" t="n">
        <x:v>193</x:v>
      </x:c>
      <x:c r="B197" s="35" t="str">
        <x:v>SYS_USER</x:v>
      </x:c>
      <x:c r="C197" s="35" t="str">
        <x:v>SYS_USER</x:v>
      </x:c>
      <x:c r="D197" s="35" t="str">
        <x:v>테이블 유지</x:v>
      </x:c>
      <x:c r="E197" s="35" t="str">
        <x:v>ADDR_DTL</x:v>
      </x:c>
      <x:c r="F197" s="35" t="str">
        <x:v>ADDR_DTL</x:v>
      </x:c>
      <x:c r="G197" s="35" t="str">
        <x:v>유지</x:v>
      </x:c>
      <x:c r="H197" s="35" t="str">
        <x:v>확실</x:v>
      </x:c>
      <x:c r="I197" s="35" t="str">
        <x:v>VARCHAR(100) | NULL</x:v>
      </x:c>
      <x:c r="J197" s="35" t="str">
        <x:v>VARCHAR(100) | NULL</x:v>
      </x:c>
      <x:c r="K197" s="35" t="str">
        <x:v>동일</x:v>
      </x:c>
      <x:c r="L197" s="35" t="str">
        <x:v>주소상세</x:v>
      </x:c>
      <x:c r="M197" s="35" t="str">
        <x:v>주소상세</x:v>
      </x:c>
      <x:c r="N197" s="35" t="str">
        <x:v>낮음</x:v>
      </x:c>
      <x:c r="O197" s="35" t="str">
        <x:v>코드 변경 불필요. 회귀 테스트만 수행</x:v>
      </x:c>
      <x:c r="P197" s="35" t="str">
        <x:v>해당없음</x:v>
      </x:c>
      <x:c r="Q197" s="35" t="str"/>
      <x:c r="R197" s="35" t="str"/>
    </x:row>
    <x:row r="198">
      <x:c r="A198" s="35" t="n">
        <x:v>194</x:v>
      </x:c>
      <x:c r="B198" s="35" t="str">
        <x:v>SYS_USER</x:v>
      </x:c>
      <x:c r="C198" s="35" t="str">
        <x:v>SYS_USER</x:v>
      </x:c>
      <x:c r="D198" s="35" t="str">
        <x:v>테이블 유지</x:v>
      </x:c>
      <x:c r="E198" s="35" t="str">
        <x:v>POST_CD</x:v>
      </x:c>
      <x:c r="F198" s="35" t="str">
        <x:v>POST_CD</x:v>
      </x:c>
      <x:c r="G198" s="35" t="str">
        <x:v>유지</x:v>
      </x:c>
      <x:c r="H198" s="35" t="str">
        <x:v>확실</x:v>
      </x:c>
      <x:c r="I198" s="35" t="str">
        <x:v>CHAR(5) | NULL</x:v>
      </x:c>
      <x:c r="J198" s="35" t="str">
        <x:v>CHAR(5) | NULL</x:v>
      </x:c>
      <x:c r="K198" s="35" t="str">
        <x:v>동일</x:v>
      </x:c>
      <x:c r="L198" s="35" t="str">
        <x:v>우편번호</x:v>
      </x:c>
      <x:c r="M198" s="35" t="str">
        <x:v>우편번호</x:v>
      </x:c>
      <x:c r="N198" s="35" t="str">
        <x:v>낮음</x:v>
      </x:c>
      <x:c r="O198" s="35" t="str">
        <x:v>코드 변경 불필요. 회귀 테스트만 수행</x:v>
      </x:c>
      <x:c r="P198" s="35" t="str">
        <x:v>해당없음</x:v>
      </x:c>
      <x:c r="Q198" s="35" t="str"/>
      <x:c r="R198" s="35" t="str"/>
    </x:row>
    <x:row r="199">
      <x:c r="A199" s="35" t="n">
        <x:v>195</x:v>
      </x:c>
      <x:c r="B199" s="35" t="str">
        <x:v>SYS_USER</x:v>
      </x:c>
      <x:c r="C199" s="35" t="str">
        <x:v>SYS_USER</x:v>
      </x:c>
      <x:c r="D199" s="35" t="str">
        <x:v>테이블 유지</x:v>
      </x:c>
      <x:c r="E199" s="35" t="str">
        <x:v>UUID</x:v>
      </x:c>
      <x:c r="F199" s="35" t="str">
        <x:v>UUID</x:v>
      </x:c>
      <x:c r="G199" s="35" t="str">
        <x:v>유지</x:v>
      </x:c>
      <x:c r="H199" s="35" t="str">
        <x:v>확실</x:v>
      </x:c>
      <x:c r="I199" s="35" t="str">
        <x:v>VARCHAR(36) | NULL</x:v>
      </x:c>
      <x:c r="J199" s="35" t="str">
        <x:v>VARCHAR(36) | NULL</x:v>
      </x:c>
      <x:c r="K199" s="35" t="str">
        <x:v>동일</x:v>
      </x:c>
      <x:c r="L199" s="35" t="str">
        <x:v>파일ID</x:v>
      </x:c>
      <x:c r="M199" s="35" t="str">
        <x:v>파일ID</x:v>
      </x:c>
      <x:c r="N199" s="35" t="str">
        <x:v>낮음</x:v>
      </x:c>
      <x:c r="O199" s="35" t="str">
        <x:v>코드 변경 불필요. 회귀 테스트만 수행</x:v>
      </x:c>
      <x:c r="P199" s="35" t="str">
        <x:v>해당없음</x:v>
      </x:c>
      <x:c r="Q199" s="35" t="str"/>
      <x:c r="R199" s="35" t="str"/>
    </x:row>
    <x:row r="200">
      <x:c r="A200" s="35" t="n">
        <x:v>196</x:v>
      </x:c>
      <x:c r="B200" s="35" t="str">
        <x:v>SYS_USER</x:v>
      </x:c>
      <x:c r="C200" s="35" t="str">
        <x:v>SYS_USER</x:v>
      </x:c>
      <x:c r="D200" s="35" t="str">
        <x:v>테이블 유지</x:v>
      </x:c>
      <x:c r="E200" s="35" t="str"/>
      <x:c r="F200" s="35" t="str">
        <x:v>FAM_NM</x:v>
      </x:c>
      <x:c r="G200" s="35" t="str">
        <x:v>컬럼 추가</x:v>
      </x:c>
      <x:c r="H200" s="35" t="str">
        <x:v>확실</x:v>
      </x:c>
      <x:c r="I200" s="35" t="str"/>
      <x:c r="J200" s="35" t="str">
        <x:v>VARCHAR(200) | NULL</x:v>
      </x:c>
      <x:c r="K200" s="35" t="str">
        <x:v>VARCHAR(200) | NULL</x:v>
      </x:c>
      <x:c r="L200" s="35" t="str"/>
      <x:c r="M200" s="35" t="str">
        <x:v>가족명</x:v>
      </x:c>
      <x:c r="N200" s="35" t="str">
        <x:v>중간</x:v>
      </x:c>
      <x:c r="O200" s="35" t="str">
        <x:v>SYS_USER.FAM_NM 필드를 Entity/DTO/입력·조회 SQL에 반영하고 기존 데이터 채움 정책 확인</x:v>
      </x:c>
      <x:c r="P200" s="35" t="str">
        <x:v>미착수</x:v>
      </x:c>
      <x:c r="Q200" s="35" t="str"/>
      <x:c r="R200" s="35" t="str"/>
    </x:row>
    <x:row r="201">
      <x:c r="A201" s="35" t="n">
        <x:v>197</x:v>
      </x:c>
      <x:c r="B201" s="35" t="str">
        <x:v>SYS_USER</x:v>
      </x:c>
      <x:c r="C201" s="35" t="str">
        <x:v>SYS_USER</x:v>
      </x:c>
      <x:c r="D201" s="35" t="str">
        <x:v>테이블 유지</x:v>
      </x:c>
      <x:c r="E201" s="35" t="str"/>
      <x:c r="F201" s="35" t="str">
        <x:v>LNM</x:v>
      </x:c>
      <x:c r="G201" s="35" t="str">
        <x:v>컬럼 추가</x:v>
      </x:c>
      <x:c r="H201" s="35" t="str">
        <x:v>확실</x:v>
      </x:c>
      <x:c r="I201" s="35" t="str"/>
      <x:c r="J201" s="35" t="str">
        <x:v>VARCHAR(100) | NULL</x:v>
      </x:c>
      <x:c r="K201" s="35" t="str">
        <x:v>VARCHAR(100) | NULL</x:v>
      </x:c>
      <x:c r="L201" s="35" t="str"/>
      <x:c r="M201" s="35" t="str">
        <x:v>성</x:v>
      </x:c>
      <x:c r="N201" s="35" t="str">
        <x:v>중간</x:v>
      </x:c>
      <x:c r="O201" s="35" t="str">
        <x:v>SYS_USER.LNM 필드를 Entity/DTO/입력·조회 SQL에 반영하고 기존 데이터 채움 정책 확인</x:v>
      </x:c>
      <x:c r="P201" s="35" t="str">
        <x:v>미착수</x:v>
      </x:c>
      <x:c r="Q201" s="35" t="str"/>
      <x:c r="R201" s="35" t="str"/>
    </x:row>
    <x:row r="202">
      <x:c r="A202" s="35" t="n">
        <x:v>198</x:v>
      </x:c>
      <x:c r="B202" s="35" t="str">
        <x:v>SYS_USER</x:v>
      </x:c>
      <x:c r="C202" s="35" t="str">
        <x:v>SYS_USER</x:v>
      </x:c>
      <x:c r="D202" s="35" t="str">
        <x:v>테이블 유지</x:v>
      </x:c>
      <x:c r="E202" s="35" t="str"/>
      <x:c r="F202" s="35" t="str">
        <x:v>TRSF_LGN_DT</x:v>
      </x:c>
      <x:c r="G202" s="35" t="str">
        <x:v>컬럼 추가</x:v>
      </x:c>
      <x:c r="H202" s="35" t="str">
        <x:v>확실</x:v>
      </x:c>
      <x:c r="I202" s="35" t="str"/>
      <x:c r="J202" s="35" t="str">
        <x:v>DATETIME | NULL</x:v>
      </x:c>
      <x:c r="K202" s="35" t="str">
        <x:v>DATETIME | NULL</x:v>
      </x:c>
      <x:c r="L202" s="35" t="str"/>
      <x:c r="M202" s="35" t="str">
        <x:v>이전로그인일시</x:v>
      </x:c>
      <x:c r="N202" s="35" t="str">
        <x:v>중간</x:v>
      </x:c>
      <x:c r="O202" s="35" t="str">
        <x:v>SYS_USER.TRSF_LGN_DT 필드를 Entity/DTO/입력·조회 SQL에 반영하고 기존 데이터 채움 정책 확인</x:v>
      </x:c>
      <x:c r="P202" s="35" t="str">
        <x:v>미착수</x:v>
      </x:c>
      <x:c r="Q202" s="35" t="str"/>
      <x:c r="R202" s="35" t="str"/>
    </x:row>
    <x:row r="203">
      <x:c r="A203" s="35" t="n">
        <x:v>199</x:v>
      </x:c>
      <x:c r="B203" s="35" t="str">
        <x:v>SYS_USER</x:v>
      </x:c>
      <x:c r="C203" s="35" t="str">
        <x:v>SYS_USER</x:v>
      </x:c>
      <x:c r="D203" s="35" t="str">
        <x:v>테이블 유지</x:v>
      </x:c>
      <x:c r="E203" s="35" t="str"/>
      <x:c r="F203" s="35" t="str">
        <x:v>RCNT_LGN_DT</x:v>
      </x:c>
      <x:c r="G203" s="35" t="str">
        <x:v>컬럼 추가</x:v>
      </x:c>
      <x:c r="H203" s="35" t="str">
        <x:v>확실</x:v>
      </x:c>
      <x:c r="I203" s="35" t="str"/>
      <x:c r="J203" s="35" t="str">
        <x:v>DATETIME | NULL</x:v>
      </x:c>
      <x:c r="K203" s="35" t="str">
        <x:v>DATETIME | NULL</x:v>
      </x:c>
      <x:c r="L203" s="35" t="str"/>
      <x:c r="M203" s="35" t="str">
        <x:v>최근로그인일시</x:v>
      </x:c>
      <x:c r="N203" s="35" t="str">
        <x:v>중간</x:v>
      </x:c>
      <x:c r="O203" s="35" t="str">
        <x:v>SYS_USER.RCNT_LGN_DT 필드를 Entity/DTO/입력·조회 SQL에 반영하고 기존 데이터 채움 정책 확인</x:v>
      </x:c>
      <x:c r="P203" s="35" t="str">
        <x:v>미착수</x:v>
      </x:c>
      <x:c r="Q203" s="35" t="str"/>
      <x:c r="R203" s="35" t="str"/>
    </x:row>
    <x:row r="204">
      <x:c r="A204" s="35" t="n">
        <x:v>200</x:v>
      </x:c>
      <x:c r="B204" s="35" t="str">
        <x:v>SYS_USER</x:v>
      </x:c>
      <x:c r="C204" s="35" t="str">
        <x:v>SYS_USER</x:v>
      </x:c>
      <x:c r="D204" s="35" t="str">
        <x:v>테이블 유지</x:v>
      </x:c>
      <x:c r="E204" s="35" t="str"/>
      <x:c r="F204" s="35" t="str">
        <x:v>PSWD_EXPRY_DT</x:v>
      </x:c>
      <x:c r="G204" s="35" t="str">
        <x:v>컬럼 추가</x:v>
      </x:c>
      <x:c r="H204" s="35" t="str">
        <x:v>확실</x:v>
      </x:c>
      <x:c r="I204" s="35" t="str"/>
      <x:c r="J204" s="35" t="str">
        <x:v>DATETIME | NULL</x:v>
      </x:c>
      <x:c r="K204" s="35" t="str">
        <x:v>DATETIME | NULL</x:v>
      </x:c>
      <x:c r="L204" s="35" t="str"/>
      <x:c r="M204" s="35" t="str">
        <x:v>비밀번호만료일시</x:v>
      </x:c>
      <x:c r="N204" s="35" t="str">
        <x:v>중간</x:v>
      </x:c>
      <x:c r="O204" s="35" t="str">
        <x:v>SYS_USER.PSWD_EXPRY_DT 필드를 Entity/DTO/입력·조회 SQL에 반영하고 기존 데이터 채움 정책 확인</x:v>
      </x:c>
      <x:c r="P204" s="35" t="str">
        <x:v>미착수</x:v>
      </x:c>
      <x:c r="Q204" s="35" t="str"/>
      <x:c r="R204" s="35" t="str"/>
    </x:row>
    <x:row r="205">
      <x:c r="A205" s="35" t="n">
        <x:v>201</x:v>
      </x:c>
      <x:c r="B205" s="35" t="str">
        <x:v>SYS_TOKEN</x:v>
      </x:c>
      <x:c r="C205" s="35" t="str">
        <x:v>SYS_TOKEN</x:v>
      </x:c>
      <x:c r="D205" s="35" t="str">
        <x:v>테이블 유지</x:v>
      </x:c>
      <x:c r="E205" s="35" t="str">
        <x:v>ID</x:v>
      </x:c>
      <x:c r="F205" s="35" t="str">
        <x:v>ID</x:v>
      </x:c>
      <x:c r="G205" s="35" t="str">
        <x:v>정의 변경</x:v>
      </x:c>
      <x:c r="H205" s="35" t="str">
        <x:v>확실</x:v>
      </x:c>
      <x:c r="I205" s="35" t="str">
        <x:v>BIGINT | NULL | PK | AUTO_INCREMENT</x:v>
      </x:c>
      <x:c r="J205" s="35" t="str">
        <x:v>BIGINT | NULL | PK</x:v>
      </x:c>
      <x:c r="K205" s="35" t="str">
        <x:v>AUTO_INCREMENT Y → N</x:v>
      </x:c>
      <x:c r="L205" s="35" t="str">
        <x:v>시퀀스 아이디</x:v>
      </x:c>
      <x:c r="M205" s="35" t="str">
        <x:v>시퀀스아이디</x:v>
      </x:c>
      <x:c r="N205" s="35" t="str">
        <x:v>높음</x:v>
      </x:c>
      <x:c r="O205" s="35" t="str">
        <x:v>SYS_TOKEN.ID의 타입·NULL·기본값·키 정의에 맞춰 스키마와 검증 로직 수정</x:v>
      </x:c>
      <x:c r="P205" s="35" t="str">
        <x:v>미착수</x:v>
      </x:c>
      <x:c r="Q205" s="35" t="str"/>
      <x:c r="R205" s="35" t="str"/>
    </x:row>
    <x:row r="206">
      <x:c r="A206" s="35" t="n">
        <x:v>202</x:v>
      </x:c>
      <x:c r="B206" s="35" t="str">
        <x:v>SYS_TOKEN</x:v>
      </x:c>
      <x:c r="C206" s="35" t="str">
        <x:v>SYS_TOKEN</x:v>
      </x:c>
      <x:c r="D206" s="35" t="str">
        <x:v>테이블 유지</x:v>
      </x:c>
      <x:c r="E206" s="35" t="str">
        <x:v>EXP</x:v>
      </x:c>
      <x:c r="F206" s="35" t="str">
        <x:v>EXPRY_YN</x:v>
      </x:c>
      <x:c r="G206" s="35" t="str">
        <x:v>이름+정의 변경</x:v>
      </x:c>
      <x:c r="H206" s="35" t="str">
        <x:v>높음</x:v>
      </x:c>
      <x:c r="I206" s="35" t="str">
        <x:v>TINYINT(1) | NOT NULL</x:v>
      </x:c>
      <x:c r="J206" s="35" t="str">
        <x:v>TINYINT | NOT NULL</x:v>
      </x:c>
      <x:c r="K206" s="35" t="str">
        <x:v>TINYINT(1) → TINYINT</x:v>
      </x:c>
      <x:c r="L206" s="35" t="str">
        <x:v>만료 여부</x:v>
      </x:c>
      <x:c r="M206" s="35" t="str">
        <x:v>만료여부</x:v>
      </x:c>
      <x:c r="N206" s="35" t="str">
        <x:v>낮음</x:v>
      </x:c>
      <x:c r="O206" s="35" t="str">
        <x:v>코드 변경 불필요. 회귀 테스트만 수행</x:v>
      </x:c>
      <x:c r="P206" s="35" t="str">
        <x:v>미착수</x:v>
      </x:c>
      <x:c r="Q206" s="35" t="str"/>
      <x:c r="R206" s="35" t="str"/>
    </x:row>
    <x:row r="207">
      <x:c r="A207" s="35" t="n">
        <x:v>203</x:v>
      </x:c>
      <x:c r="B207" s="35" t="str">
        <x:v>SYS_TOKEN</x:v>
      </x:c>
      <x:c r="C207" s="35" t="str">
        <x:v>SYS_TOKEN</x:v>
      </x:c>
      <x:c r="D207" s="35" t="str">
        <x:v>테이블 유지</x:v>
      </x:c>
      <x:c r="E207" s="35" t="str">
        <x:v>REVOK</x:v>
      </x:c>
      <x:c r="F207" s="35" t="str">
        <x:v>DSCD_YN</x:v>
      </x:c>
      <x:c r="G207" s="35" t="str">
        <x:v>이름+정의 변경</x:v>
      </x:c>
      <x:c r="H207" s="35" t="str">
        <x:v>높음</x:v>
      </x:c>
      <x:c r="I207" s="35" t="str">
        <x:v>TINYINT(1) | NOT NULL</x:v>
      </x:c>
      <x:c r="J207" s="35" t="str">
        <x:v>TINYINT | NOT NULL</x:v>
      </x:c>
      <x:c r="K207" s="35" t="str">
        <x:v>TINYINT(1) → TINYINT</x:v>
      </x:c>
      <x:c r="L207" s="35" t="str">
        <x:v>폐기 여부</x:v>
      </x:c>
      <x:c r="M207" s="35" t="str">
        <x:v>폐기여부</x:v>
      </x:c>
      <x:c r="N207" s="35" t="str">
        <x:v>낮음</x:v>
      </x:c>
      <x:c r="O207" s="35" t="str">
        <x:v>코드 변경 불필요. 회귀 테스트만 수행</x:v>
      </x:c>
      <x:c r="P207" s="35" t="str">
        <x:v>미착수</x:v>
      </x:c>
      <x:c r="Q207" s="35" t="str"/>
      <x:c r="R207" s="35" t="str"/>
    </x:row>
    <x:row r="208">
      <x:c r="A208" s="35" t="n">
        <x:v>204</x:v>
      </x:c>
      <x:c r="B208" s="35" t="str">
        <x:v>SYS_TOKEN</x:v>
      </x:c>
      <x:c r="C208" s="35" t="str">
        <x:v>SYS_TOKEN</x:v>
      </x:c>
      <x:c r="D208" s="35" t="str">
        <x:v>테이블 유지</x:v>
      </x:c>
      <x:c r="E208" s="35" t="str">
        <x:v>USER_ID</x:v>
      </x:c>
      <x:c r="F208" s="35" t="str">
        <x:v>USER_ID</x:v>
      </x:c>
      <x:c r="G208" s="35" t="str">
        <x:v>유지</x:v>
      </x:c>
      <x:c r="H208" s="35" t="str">
        <x:v>확실</x:v>
      </x:c>
      <x:c r="I208" s="35" t="str">
        <x:v>BIGINT | NULL</x:v>
      </x:c>
      <x:c r="J208" s="35" t="str">
        <x:v>BIGINT | NULL</x:v>
      </x:c>
      <x:c r="K208" s="35" t="str">
        <x:v>동일</x:v>
      </x:c>
      <x:c r="L208" s="35" t="str">
        <x:v>COMMON_USER 참조</x:v>
      </x:c>
      <x:c r="M208" s="35" t="str">
        <x:v>COMMON_USER참조</x:v>
      </x:c>
      <x:c r="N208" s="35" t="str">
        <x:v>낮음</x:v>
      </x:c>
      <x:c r="O208" s="35" t="str">
        <x:v>코드 변경 불필요. 회귀 테스트만 수행</x:v>
      </x:c>
      <x:c r="P208" s="35" t="str">
        <x:v>해당없음</x:v>
      </x:c>
      <x:c r="Q208" s="35" t="str"/>
      <x:c r="R208" s="35" t="str"/>
    </x:row>
    <x:row r="209">
      <x:c r="A209" s="35" t="n">
        <x:v>205</x:v>
      </x:c>
      <x:c r="B209" s="35" t="str">
        <x:v>SYS_TOKEN</x:v>
      </x:c>
      <x:c r="C209" s="35" t="str">
        <x:v>SYS_TOKEN</x:v>
      </x:c>
      <x:c r="D209" s="35" t="str">
        <x:v>테이블 유지</x:v>
      </x:c>
      <x:c r="E209" s="35" t="str">
        <x:v>TOKEN</x:v>
      </x:c>
      <x:c r="F209" s="35" t="str">
        <x:v>TOKEN_VL</x:v>
      </x:c>
      <x:c r="G209" s="35" t="str">
        <x:v>이름변경</x:v>
      </x:c>
      <x:c r="H209" s="35" t="str">
        <x:v>높음</x:v>
      </x:c>
      <x:c r="I209" s="35" t="str">
        <x:v>VARCHAR(255) | NULL</x:v>
      </x:c>
      <x:c r="J209" s="35" t="str">
        <x:v>VARCHAR(255) | NULL</x:v>
      </x:c>
      <x:c r="K209" s="35" t="str">
        <x:v>TOKEN → TOKEN_VL</x:v>
      </x:c>
      <x:c r="L209" s="35" t="str">
        <x:v>토큰 값</x:v>
      </x:c>
      <x:c r="M209" s="35" t="str">
        <x:v>토큰값</x:v>
      </x:c>
      <x:c r="N209" s="35" t="str">
        <x:v>중간</x:v>
      </x:c>
      <x:c r="O209" s="35" t="str">
        <x:v>SYS_TOKEN.TOKEN 참조를 SYS_TOKEN.TOKEN_VL로 변경하고 SQL alias/직렬화 명칭 점검</x:v>
      </x:c>
      <x:c r="P209" s="35" t="str">
        <x:v>미착수</x:v>
      </x:c>
      <x:c r="Q209" s="35" t="str"/>
      <x:c r="R209" s="35" t="str"/>
    </x:row>
    <x:row r="210">
      <x:c r="A210" s="35" t="n">
        <x:v>206</x:v>
      </x:c>
      <x:c r="B210" s="35" t="str">
        <x:v>SYS_TOKEN</x:v>
      </x:c>
      <x:c r="C210" s="35" t="str">
        <x:v>SYS_TOKEN</x:v>
      </x:c>
      <x:c r="D210" s="35" t="str">
        <x:v>테이블 유지</x:v>
      </x:c>
      <x:c r="E210" s="35" t="str">
        <x:v>TOKEN_TYPE</x:v>
      </x:c>
      <x:c r="F210" s="35" t="str">
        <x:v>TOKEN_TYPE</x:v>
      </x:c>
      <x:c r="G210" s="35" t="str">
        <x:v>유지</x:v>
      </x:c>
      <x:c r="H210" s="35" t="str">
        <x:v>확실</x:v>
      </x:c>
      <x:c r="I210" s="35" t="str">
        <x:v>VARCHAR(255) | NULL</x:v>
      </x:c>
      <x:c r="J210" s="35" t="str">
        <x:v>VARCHAR(255) | NULL</x:v>
      </x:c>
      <x:c r="K210" s="35" t="str">
        <x:v>동일</x:v>
      </x:c>
      <x:c r="L210" s="35" t="str"/>
      <x:c r="M210" s="35" t="str">
        <x:v>토큰유형</x:v>
      </x:c>
      <x:c r="N210" s="35" t="str">
        <x:v>낮음</x:v>
      </x:c>
      <x:c r="O210" s="35" t="str">
        <x:v>코드 변경 불필요. 회귀 테스트만 수행</x:v>
      </x:c>
      <x:c r="P210" s="35" t="str">
        <x:v>해당없음</x:v>
      </x:c>
      <x:c r="Q210" s="35" t="str"/>
      <x:c r="R210" s="35" t="str"/>
    </x:row>
    <x:row r="211">
      <x:c r="A211" s="35" t="n">
        <x:v>207</x:v>
      </x:c>
      <x:c r="B211" s="35" t="str">
        <x:v>SYS_USER_GRP</x:v>
      </x:c>
      <x:c r="C211" s="35" t="str">
        <x:v>SYS_USER_GRP</x:v>
      </x:c>
      <x:c r="D211" s="35" t="str">
        <x:v>테이블 유지</x:v>
      </x:c>
      <x:c r="E211" s="35" t="str">
        <x:v>GRP_ID</x:v>
      </x:c>
      <x:c r="F211" s="35" t="str">
        <x:v>GRP_ID</x:v>
      </x:c>
      <x:c r="G211" s="35" t="str">
        <x:v>유지</x:v>
      </x:c>
      <x:c r="H211" s="35" t="str">
        <x:v>확실</x:v>
      </x:c>
      <x:c r="I211" s="35" t="str">
        <x:v>VARCHAR(32) | NOT NULL | PK</x:v>
      </x:c>
      <x:c r="J211" s="35" t="str">
        <x:v>VARCHAR(32) | NOT NULL | PK</x:v>
      </x:c>
      <x:c r="K211" s="35" t="str">
        <x:v>동일</x:v>
      </x:c>
      <x:c r="L211" s="35" t="str">
        <x:v>그룹아이디</x:v>
      </x:c>
      <x:c r="M211" s="35" t="str">
        <x:v>그룹아이디</x:v>
      </x:c>
      <x:c r="N211" s="35" t="str">
        <x:v>낮음</x:v>
      </x:c>
      <x:c r="O211" s="35" t="str">
        <x:v>코드 변경 불필요. 회귀 테스트만 수행</x:v>
      </x:c>
      <x:c r="P211" s="35" t="str">
        <x:v>해당없음</x:v>
      </x:c>
      <x:c r="Q211" s="35" t="str"/>
      <x:c r="R211" s="35" t="str"/>
    </x:row>
    <x:row r="212">
      <x:c r="A212" s="35" t="n">
        <x:v>208</x:v>
      </x:c>
      <x:c r="B212" s="35" t="str">
        <x:v>SYS_USER_GRP</x:v>
      </x:c>
      <x:c r="C212" s="35" t="str">
        <x:v>SYS_USER_GRP</x:v>
      </x:c>
      <x:c r="D212" s="35" t="str">
        <x:v>테이블 유지</x:v>
      </x:c>
      <x:c r="E212" s="35" t="str">
        <x:v>USER_EMAIL</x:v>
      </x:c>
      <x:c r="F212" s="35" t="str">
        <x:v>USER_UP_GRP_ID</x:v>
      </x:c>
      <x:c r="G212" s="35" t="str">
        <x:v>이름변경</x:v>
      </x:c>
      <x:c r="H212" s="35" t="str">
        <x:v>낮음</x:v>
      </x:c>
      <x:c r="I212" s="35" t="str">
        <x:v>VARCHAR(255) | NOT NULL</x:v>
      </x:c>
      <x:c r="J212" s="35" t="str">
        <x:v>VARCHAR(255) | NOT NULL</x:v>
      </x:c>
      <x:c r="K212" s="35" t="str">
        <x:v>USER_EMAIL → USER_UP_GRP_ID</x:v>
      </x:c>
      <x:c r="L212" s="35" t="str">
        <x:v>사용자 email</x:v>
      </x:c>
      <x:c r="M212" s="35" t="str">
        <x:v>사용자상위그룹ID</x:v>
      </x:c>
      <x:c r="N212" s="35" t="str">
        <x:v>높음</x:v>
      </x:c>
      <x:c r="O212" s="35" t="str">
        <x:v>SYS_USER_GRP.USER_EMAIL 참조를 SYS_USER_GRP.USER_UP_GRP_ID로 변경하고 SQL alias/직렬화 명칭 점검</x:v>
      </x:c>
      <x:c r="P212" s="35" t="str">
        <x:v>미착수</x:v>
      </x:c>
      <x:c r="Q212" s="35" t="str"/>
      <x:c r="R212" s="35" t="str">
        <x:v>업무 의미가 달라 보이므로 설계자 확인 필요</x:v>
      </x:c>
    </x:row>
    <x:row r="213">
      <x:c r="A213" s="35" t="n">
        <x:v>209</x:v>
      </x:c>
      <x:c r="B213" s="35" t="str">
        <x:v>SYS_USER_GRP</x:v>
      </x:c>
      <x:c r="C213" s="35" t="str">
        <x:v>SYS_USER_GRP</x:v>
      </x:c>
      <x:c r="D213" s="35" t="str">
        <x:v>테이블 유지</x:v>
      </x:c>
      <x:c r="E213" s="35" t="str">
        <x:v>USER_ID</x:v>
      </x:c>
      <x:c r="F213" s="35" t="str">
        <x:v>USER_ID</x:v>
      </x:c>
      <x:c r="G213" s="35" t="str">
        <x:v>유지</x:v>
      </x:c>
      <x:c r="H213" s="35" t="str">
        <x:v>확실</x:v>
      </x:c>
      <x:c r="I213" s="35" t="str">
        <x:v>VARCHAR(255) | NOT NULL</x:v>
      </x:c>
      <x:c r="J213" s="35" t="str">
        <x:v>VARCHAR(255) | NOT NULL</x:v>
      </x:c>
      <x:c r="K213" s="35" t="str">
        <x:v>동일</x:v>
      </x:c>
      <x:c r="L213" s="35" t="str">
        <x:v>사용자 ID</x:v>
      </x:c>
      <x:c r="M213" s="35" t="str">
        <x:v>사용자ID</x:v>
      </x:c>
      <x:c r="N213" s="35" t="str">
        <x:v>낮음</x:v>
      </x:c>
      <x:c r="O213" s="35" t="str">
        <x:v>코드 변경 불필요. 회귀 테스트만 수행</x:v>
      </x:c>
      <x:c r="P213" s="35" t="str">
        <x:v>해당없음</x:v>
      </x:c>
      <x:c r="Q213" s="35" t="str"/>
      <x:c r="R213" s="35" t="str"/>
    </x:row>
    <x:row r="214">
      <x:c r="A214" s="35" t="n">
        <x:v>210</x:v>
      </x:c>
      <x:c r="B214" s="35" t="str">
        <x:v>SYS_USER_GRP</x:v>
      </x:c>
      <x:c r="C214" s="35" t="str">
        <x:v>SYS_USER_GRP</x:v>
      </x:c>
      <x:c r="D214" s="35" t="str">
        <x:v>테이블 유지</x:v>
      </x:c>
      <x:c r="E214" s="35" t="str">
        <x:v>OFFC_CD</x:v>
      </x:c>
      <x:c r="F214" s="35" t="str">
        <x:v>INST_CD</x:v>
      </x:c>
      <x:c r="G214" s="35" t="str">
        <x:v>이름변경</x:v>
      </x:c>
      <x:c r="H214" s="35" t="str">
        <x:v>높음</x:v>
      </x:c>
      <x:c r="I214" s="35" t="str">
        <x:v>VARCHAR(7) | NOT NULL</x:v>
      </x:c>
      <x:c r="J214" s="35" t="str">
        <x:v>VARCHAR(7) | NOT NULL</x:v>
      </x:c>
      <x:c r="K214" s="35" t="str">
        <x:v>OFFC_CD → INST_CD</x:v>
      </x:c>
      <x:c r="L214" s="35" t="str">
        <x:v>소속코드</x:v>
      </x:c>
      <x:c r="M214" s="35" t="str">
        <x:v>소속코드</x:v>
      </x:c>
      <x:c r="N214" s="35" t="str">
        <x:v>중간</x:v>
      </x:c>
      <x:c r="O214" s="35" t="str">
        <x:v>SYS_USER_GRP.OFFC_CD 참조를 SYS_USER_GRP.INST_CD로 변경하고 SQL alias/직렬화 명칭 점검</x:v>
      </x:c>
      <x:c r="P214" s="35" t="str">
        <x:v>미착수</x:v>
      </x:c>
      <x:c r="Q214" s="35" t="str"/>
      <x:c r="R214" s="35" t="str"/>
    </x:row>
    <x:row r="215">
      <x:c r="A215" s="35" t="n">
        <x:v>211</x:v>
      </x:c>
      <x:c r="B215" s="35" t="str">
        <x:v>SYS_USER_GRP</x:v>
      </x:c>
      <x:c r="C215" s="35" t="str">
        <x:v>SYS_USER_GRP</x:v>
      </x:c>
      <x:c r="D215" s="35" t="str">
        <x:v>테이블 유지</x:v>
      </x:c>
      <x:c r="E215" s="35" t="str">
        <x:v>SYS_CRT_DT</x:v>
      </x:c>
      <x:c r="F215" s="35" t="str">
        <x:v>SYS_GEN_DT</x:v>
      </x:c>
      <x:c r="G215" s="35" t="str">
        <x:v>이름변경</x:v>
      </x:c>
      <x:c r="H215" s="35" t="str">
        <x:v>높음</x:v>
      </x:c>
      <x:c r="I215" s="35" t="str">
        <x:v>DATETIME | NOT NULL</x:v>
      </x:c>
      <x:c r="J215" s="35" t="str">
        <x:v>DATETIME | NOT NULL</x:v>
      </x:c>
      <x:c r="K215" s="35" t="str">
        <x:v>SYS_CRT_DT → SYS_GEN_DT</x:v>
      </x:c>
      <x:c r="L215" s="35" t="str">
        <x:v>작성일자</x:v>
      </x:c>
      <x:c r="M215" s="35" t="str">
        <x:v>시스템생성일시</x:v>
      </x:c>
      <x:c r="N215" s="35" t="str">
        <x:v>중간</x:v>
      </x:c>
      <x:c r="O215" s="35" t="str">
        <x:v>SYS_USER_GRP.SYS_CRT_DT 참조를 SYS_USER_GRP.SYS_GEN_DT로 변경하고 SQL alias/직렬화 명칭 점검</x:v>
      </x:c>
      <x:c r="P215" s="35" t="str">
        <x:v>미착수</x:v>
      </x:c>
      <x:c r="Q215" s="35" t="str"/>
      <x:c r="R215" s="35" t="str"/>
    </x:row>
    <x:row r="216">
      <x:c r="A216" s="35" t="n">
        <x:v>212</x:v>
      </x:c>
      <x:c r="B216" s="35" t="str">
        <x:v>SYS_USER_GRP</x:v>
      </x:c>
      <x:c r="C216" s="35" t="str">
        <x:v>SYS_USER_GRP</x:v>
      </x:c>
      <x:c r="D216" s="35" t="str">
        <x:v>테이블 유지</x:v>
      </x:c>
      <x:c r="E216" s="35" t="str">
        <x:v>SYS_CRT_USR_ID</x:v>
      </x:c>
      <x:c r="F216" s="35" t="str">
        <x:v>SYS_CRT_USR_ID</x:v>
      </x:c>
      <x:c r="G216" s="35" t="str">
        <x:v>유지</x:v>
      </x:c>
      <x:c r="H216" s="35" t="str">
        <x:v>확실</x:v>
      </x:c>
      <x:c r="I216" s="35" t="str">
        <x:v>VARCHAR(32) | NOT NULL</x:v>
      </x:c>
      <x:c r="J216" s="35" t="str">
        <x:v>VARCHAR(32) | NOT NULL</x:v>
      </x:c>
      <x:c r="K216" s="35" t="str">
        <x:v>동일</x:v>
      </x:c>
      <x:c r="L216" s="35" t="str">
        <x:v>작성자ID</x:v>
      </x:c>
      <x:c r="M216" s="35" t="str">
        <x:v>시스템생성자ID</x:v>
      </x:c>
      <x:c r="N216" s="35" t="str">
        <x:v>낮음</x:v>
      </x:c>
      <x:c r="O216" s="35" t="str">
        <x:v>코드 변경 불필요. 회귀 테스트만 수행</x:v>
      </x:c>
      <x:c r="P216" s="35" t="str">
        <x:v>해당없음</x:v>
      </x:c>
      <x:c r="Q216" s="35" t="str"/>
      <x:c r="R216" s="35" t="str"/>
    </x:row>
    <x:row r="217">
      <x:c r="A217" s="35" t="n">
        <x:v>213</x:v>
      </x:c>
      <x:c r="B217" s="35" t="str">
        <x:v>SYS_USER_GRP</x:v>
      </x:c>
      <x:c r="C217" s="35" t="str">
        <x:v>SYS_USER_GRP</x:v>
      </x:c>
      <x:c r="D217" s="35" t="str">
        <x:v>테이블 유지</x:v>
      </x:c>
      <x:c r="E217" s="35" t="str">
        <x:v>SYS_UPD_DT</x:v>
      </x:c>
      <x:c r="F217" s="35" t="str">
        <x:v>SYS_MDFCN_DT</x:v>
      </x:c>
      <x:c r="G217" s="35" t="str">
        <x:v>이름변경</x:v>
      </x:c>
      <x:c r="H217" s="35" t="str">
        <x:v>높음</x:v>
      </x:c>
      <x:c r="I217" s="35" t="str">
        <x:v>DATETIME | NULL</x:v>
      </x:c>
      <x:c r="J217" s="35" t="str">
        <x:v>DATETIME | NULL</x:v>
      </x:c>
      <x:c r="K217" s="35" t="str">
        <x:v>SYS_UPD_DT → SYS_MDFCN_DT</x:v>
      </x:c>
      <x:c r="L217" s="35" t="str">
        <x:v>수정일자</x:v>
      </x:c>
      <x:c r="M217" s="35" t="str">
        <x:v>시스템수정일시</x:v>
      </x:c>
      <x:c r="N217" s="35" t="str">
        <x:v>중간</x:v>
      </x:c>
      <x:c r="O217" s="35" t="str">
        <x:v>SYS_USER_GRP.SYS_UPD_DT 참조를 SYS_USER_GRP.SYS_MDFCN_DT로 변경하고 SQL alias/직렬화 명칭 점검</x:v>
      </x:c>
      <x:c r="P217" s="35" t="str">
        <x:v>미착수</x:v>
      </x:c>
      <x:c r="Q217" s="35" t="str"/>
      <x:c r="R217" s="35" t="str"/>
    </x:row>
    <x:row r="218">
      <x:c r="A218" s="35" t="n">
        <x:v>214</x:v>
      </x:c>
      <x:c r="B218" s="35" t="str">
        <x:v>SYS_USER_GRP</x:v>
      </x:c>
      <x:c r="C218" s="35" t="str">
        <x:v>SYS_USER_GRP</x:v>
      </x:c>
      <x:c r="D218" s="35" t="str">
        <x:v>테이블 유지</x:v>
      </x:c>
      <x:c r="E218" s="35" t="str">
        <x:v>SYS_UPD_USR_ID</x:v>
      </x:c>
      <x:c r="F218" s="35" t="str">
        <x:v>SYS_MDFR_ID</x:v>
      </x:c>
      <x:c r="G218" s="35" t="str">
        <x:v>이름+정의 변경</x:v>
      </x:c>
      <x:c r="H218" s="35" t="str">
        <x:v>높음</x:v>
      </x:c>
      <x:c r="I218" s="35" t="str">
        <x:v>VARCHAR(32) | NULL</x:v>
      </x:c>
      <x:c r="J218" s="35" t="str">
        <x:v>VARCHAR(20) | NULL</x:v>
      </x:c>
      <x:c r="K218" s="35" t="str">
        <x:v>VARCHAR(32) → VARCHAR(20)</x:v>
      </x:c>
      <x:c r="L218" s="35" t="str">
        <x:v>수정자ID</x:v>
      </x:c>
      <x:c r="M218" s="35" t="str">
        <x:v>시스템수정자ID</x:v>
      </x:c>
      <x:c r="N218" s="35" t="str">
        <x:v>낮음</x:v>
      </x:c>
      <x:c r="O218" s="35" t="str">
        <x:v>코드 변경 불필요. 회귀 테스트만 수행</x:v>
      </x:c>
      <x:c r="P218" s="35" t="str">
        <x:v>미착수</x:v>
      </x:c>
      <x:c r="Q218" s="35" t="str"/>
      <x:c r="R218" s="35" t="str"/>
    </x:row>
    <x:row r="219">
      <x:c r="A219" s="35" t="n">
        <x:v>215</x:v>
      </x:c>
      <x:c r="B219" s="35" t="str">
        <x:v>SYS_USER_GRP</x:v>
      </x:c>
      <x:c r="C219" s="35" t="str">
        <x:v>SYS_USER_GRP</x:v>
      </x:c>
      <x:c r="D219" s="35" t="str">
        <x:v>테이블 유지</x:v>
      </x:c>
      <x:c r="E219" s="35" t="str">
        <x:v>ID</x:v>
      </x:c>
      <x:c r="F219" s="35" t="str">
        <x:v>ID</x:v>
      </x:c>
      <x:c r="G219" s="35" t="str">
        <x:v>유지</x:v>
      </x:c>
      <x:c r="H219" s="35" t="str">
        <x:v>확실</x:v>
      </x:c>
      <x:c r="I219" s="35" t="str">
        <x:v>INT | NOT NULL | PK</x:v>
      </x:c>
      <x:c r="J219" s="35" t="str">
        <x:v>INT | NOT NULL | PK</x:v>
      </x:c>
      <x:c r="K219" s="35" t="str">
        <x:v>동일</x:v>
      </x:c>
      <x:c r="L219" s="35" t="str">
        <x:v>USER의 ID(PK)</x:v>
      </x:c>
      <x:c r="M219" s="35" t="str">
        <x:v>ID</x:v>
      </x:c>
      <x:c r="N219" s="35" t="str">
        <x:v>낮음</x:v>
      </x:c>
      <x:c r="O219" s="35" t="str">
        <x:v>코드 변경 불필요. 회귀 테스트만 수행</x:v>
      </x:c>
      <x:c r="P219" s="35" t="str">
        <x:v>해당없음</x:v>
      </x:c>
      <x:c r="Q219" s="35" t="str"/>
      <x:c r="R219" s="35" t="str"/>
    </x:row>
    <x:row r="220">
      <x:c r="A220" s="35" t="n">
        <x:v>216</x:v>
      </x:c>
      <x:c r="B220" s="35" t="str"/>
      <x:c r="C220" s="35" t="str">
        <x:v>SYS_ACHV_STNG</x:v>
      </x:c>
      <x:c r="D220" s="35" t="str">
        <x:v>신규</x:v>
      </x:c>
      <x:c r="E220" s="35" t="str"/>
      <x:c r="F220" s="35" t="str">
        <x:v>ID</x:v>
      </x:c>
      <x:c r="G220" s="35" t="str">
        <x:v>컬럼 추가</x:v>
      </x:c>
      <x:c r="H220" s="35" t="str">
        <x:v>확실</x:v>
      </x:c>
      <x:c r="I220" s="35" t="str"/>
      <x:c r="J220" s="35" t="str">
        <x:v>BIGINT | NULL | DEFAULT AUTO_INCREMENT | PK | AUTO_INCREMENT</x:v>
      </x:c>
      <x:c r="K220" s="35" t="str">
        <x:v>BIGINT | NULL | DEFAULT AUTO_INCREMENT | PK | AUTO_INCREMENT</x:v>
      </x:c>
      <x:c r="L220" s="35" t="str"/>
      <x:c r="M220" s="35" t="str">
        <x:v>ID</x:v>
      </x:c>
      <x:c r="N220" s="35" t="str">
        <x:v>중간</x:v>
      </x:c>
      <x:c r="O220" s="35" t="str">
        <x:v>SYS_ACHV_STNG.ID 필드를 Entity/DTO/입력·조회 SQL에 반영하고 기존 데이터 채움 정책 확인</x:v>
      </x:c>
      <x:c r="P220" s="35" t="str">
        <x:v>미착수</x:v>
      </x:c>
      <x:c r="Q220" s="35" t="str"/>
      <x:c r="R220" s="35" t="str"/>
    </x:row>
    <x:row r="221">
      <x:c r="A221" s="35" t="n">
        <x:v>217</x:v>
      </x:c>
      <x:c r="B221" s="35" t="str"/>
      <x:c r="C221" s="35" t="str">
        <x:v>SYS_ACHV_STNG</x:v>
      </x:c>
      <x:c r="D221" s="35" t="str">
        <x:v>신규</x:v>
      </x:c>
      <x:c r="E221" s="35" t="str"/>
      <x:c r="F221" s="35" t="str">
        <x:v>AIMAG_CD</x:v>
      </x:c>
      <x:c r="G221" s="35" t="str">
        <x:v>컬럼 추가</x:v>
      </x:c>
      <x:c r="H221" s="35" t="str">
        <x:v>확실</x:v>
      </x:c>
      <x:c r="I221" s="35" t="str"/>
      <x:c r="J221" s="35" t="str">
        <x:v>VARCHAR(2) | NULL</x:v>
      </x:c>
      <x:c r="K221" s="35" t="str">
        <x:v>VARCHAR(2) | NULL</x:v>
      </x:c>
      <x:c r="L221" s="35" t="str"/>
      <x:c r="M221" s="35" t="str">
        <x:v>아이막코드</x:v>
      </x:c>
      <x:c r="N221" s="35" t="str">
        <x:v>중간</x:v>
      </x:c>
      <x:c r="O221" s="35" t="str">
        <x:v>SYS_ACHV_STNG.AIMAG_CD 필드를 Entity/DTO/입력·조회 SQL에 반영하고 기존 데이터 채움 정책 확인</x:v>
      </x:c>
      <x:c r="P221" s="35" t="str">
        <x:v>미착수</x:v>
      </x:c>
      <x:c r="Q221" s="35" t="str"/>
      <x:c r="R221" s="35" t="str"/>
    </x:row>
    <x:row r="222">
      <x:c r="A222" s="35" t="n">
        <x:v>218</x:v>
      </x:c>
      <x:c r="B222" s="35" t="str"/>
      <x:c r="C222" s="35" t="str">
        <x:v>SYS_ACHV_STNG</x:v>
      </x:c>
      <x:c r="D222" s="35" t="str">
        <x:v>신규</x:v>
      </x:c>
      <x:c r="E222" s="35" t="str"/>
      <x:c r="F222" s="35" t="str">
        <x:v>INST_CD</x:v>
      </x:c>
      <x:c r="G222" s="35" t="str">
        <x:v>컬럼 추가</x:v>
      </x:c>
      <x:c r="H222" s="35" t="str">
        <x:v>확실</x:v>
      </x:c>
      <x:c r="I222" s="35" t="str"/>
      <x:c r="J222" s="35" t="str">
        <x:v>VARCHAR(7) | NULL</x:v>
      </x:c>
      <x:c r="K222" s="35" t="str">
        <x:v>VARCHAR(7) | NULL</x:v>
      </x:c>
      <x:c r="L222" s="35" t="str"/>
      <x:c r="M222" s="35" t="str">
        <x:v>기관코드</x:v>
      </x:c>
      <x:c r="N222" s="35" t="str">
        <x:v>중간</x:v>
      </x:c>
      <x:c r="O222" s="35" t="str">
        <x:v>SYS_ACHV_STNG.INST_CD 필드를 Entity/DTO/입력·조회 SQL에 반영하고 기존 데이터 채움 정책 확인</x:v>
      </x:c>
      <x:c r="P222" s="35" t="str">
        <x:v>미착수</x:v>
      </x:c>
      <x:c r="Q222" s="35" t="str"/>
      <x:c r="R222" s="35" t="str"/>
    </x:row>
    <x:row r="223">
      <x:c r="A223" s="35" t="n">
        <x:v>219</x:v>
      </x:c>
      <x:c r="B223" s="35" t="str"/>
      <x:c r="C223" s="35" t="str">
        <x:v>SYS_ACHV_STNG</x:v>
      </x:c>
      <x:c r="D223" s="35" t="str">
        <x:v>신규</x:v>
      </x:c>
      <x:c r="E223" s="35" t="str"/>
      <x:c r="F223" s="35" t="str">
        <x:v>ARCHV_NM</x:v>
      </x:c>
      <x:c r="G223" s="35" t="str">
        <x:v>컬럼 추가</x:v>
      </x:c>
      <x:c r="H223" s="35" t="str">
        <x:v>확실</x:v>
      </x:c>
      <x:c r="I223" s="35" t="str"/>
      <x:c r="J223" s="35" t="str">
        <x:v>VARCHAR(30) | NULL</x:v>
      </x:c>
      <x:c r="K223" s="35" t="str">
        <x:v>VARCHAR(30) | NULL</x:v>
      </x:c>
      <x:c r="L223" s="35" t="str"/>
      <x:c r="M223" s="35" t="str">
        <x:v>아카이브명</x:v>
      </x:c>
      <x:c r="N223" s="35" t="str">
        <x:v>중간</x:v>
      </x:c>
      <x:c r="O223" s="35" t="str">
        <x:v>SYS_ACHV_STNG.ARCHV_NM 필드를 Entity/DTO/입력·조회 SQL에 반영하고 기존 데이터 채움 정책 확인</x:v>
      </x:c>
      <x:c r="P223" s="35" t="str">
        <x:v>미착수</x:v>
      </x:c>
      <x:c r="Q223" s="35" t="str"/>
      <x:c r="R223" s="35" t="str"/>
    </x:row>
    <x:row r="224">
      <x:c r="A224" s="35" t="n">
        <x:v>220</x:v>
      </x:c>
      <x:c r="B224" s="35" t="str"/>
      <x:c r="C224" s="35" t="str">
        <x:v>SYS_ACHV_STNG</x:v>
      </x:c>
      <x:c r="D224" s="35" t="str">
        <x:v>신규</x:v>
      </x:c>
      <x:c r="E224" s="35" t="str"/>
      <x:c r="F224" s="35" t="str">
        <x:v>ABBR</x:v>
      </x:c>
      <x:c r="G224" s="35" t="str">
        <x:v>컬럼 추가</x:v>
      </x:c>
      <x:c r="H224" s="35" t="str">
        <x:v>확실</x:v>
      </x:c>
      <x:c r="I224" s="35" t="str"/>
      <x:c r="J224" s="35" t="str">
        <x:v>VARCHAR(100) | NULL</x:v>
      </x:c>
      <x:c r="K224" s="35" t="str">
        <x:v>VARCHAR(100) | NULL</x:v>
      </x:c>
      <x:c r="L224" s="35" t="str"/>
      <x:c r="M224" s="35" t="str">
        <x:v>약어</x:v>
      </x:c>
      <x:c r="N224" s="35" t="str">
        <x:v>중간</x:v>
      </x:c>
      <x:c r="O224" s="35" t="str">
        <x:v>SYS_ACHV_STNG.ABBR 필드를 Entity/DTO/입력·조회 SQL에 반영하고 기존 데이터 채움 정책 확인</x:v>
      </x:c>
      <x:c r="P224" s="35" t="str">
        <x:v>미착수</x:v>
      </x:c>
      <x:c r="Q224" s="35" t="str"/>
      <x:c r="R224" s="35" t="str"/>
    </x:row>
    <x:row r="225">
      <x:c r="A225" s="35" t="n">
        <x:v>221</x:v>
      </x:c>
      <x:c r="B225" s="35" t="str"/>
      <x:c r="C225" s="35" t="str">
        <x:v>SYS_ACHV_STNG</x:v>
      </x:c>
      <x:c r="D225" s="35" t="str">
        <x:v>신규</x:v>
      </x:c>
      <x:c r="E225" s="35" t="str"/>
      <x:c r="F225" s="35" t="str">
        <x:v>USE_YN</x:v>
      </x:c>
      <x:c r="G225" s="35" t="str">
        <x:v>컬럼 추가</x:v>
      </x:c>
      <x:c r="H225" s="35" t="str">
        <x:v>확실</x:v>
      </x:c>
      <x:c r="I225" s="35" t="str"/>
      <x:c r="J225" s="35" t="str">
        <x:v>CHAR(1) | NULL | DEFAULT 'Y'</x:v>
      </x:c>
      <x:c r="K225" s="35" t="str">
        <x:v>CHAR(1) | NULL | DEFAULT 'Y'</x:v>
      </x:c>
      <x:c r="L225" s="35" t="str"/>
      <x:c r="M225" s="35" t="str">
        <x:v>사용여부</x:v>
      </x:c>
      <x:c r="N225" s="35" t="str">
        <x:v>중간</x:v>
      </x:c>
      <x:c r="O225" s="35" t="str">
        <x:v>SYS_ACHV_STNG.USE_YN 필드를 Entity/DTO/입력·조회 SQL에 반영하고 기존 데이터 채움 정책 확인</x:v>
      </x:c>
      <x:c r="P225" s="35" t="str">
        <x:v>미착수</x:v>
      </x:c>
      <x:c r="Q225" s="35" t="str"/>
      <x:c r="R225" s="35" t="str"/>
    </x:row>
    <x:row r="226">
      <x:c r="A226" s="35" t="n">
        <x:v>222</x:v>
      </x:c>
      <x:c r="B226" s="35" t="str"/>
      <x:c r="C226" s="35" t="str">
        <x:v>SYS_ACHV_STNG</x:v>
      </x:c>
      <x:c r="D226" s="35" t="str">
        <x:v>신규</x:v>
      </x:c>
      <x:c r="E226" s="35" t="str"/>
      <x:c r="F226" s="35" t="str">
        <x:v>RGTR_ID</x:v>
      </x:c>
      <x:c r="G226" s="35" t="str">
        <x:v>컬럼 추가</x:v>
      </x:c>
      <x:c r="H226" s="35" t="str">
        <x:v>확실</x:v>
      </x:c>
      <x:c r="I226" s="35" t="str"/>
      <x:c r="J226" s="35" t="str">
        <x:v>VARCHAR(20) | NULL</x:v>
      </x:c>
      <x:c r="K226" s="35" t="str">
        <x:v>VARCHAR(20) | NULL</x:v>
      </x:c>
      <x:c r="L226" s="35" t="str"/>
      <x:c r="M226" s="35" t="str">
        <x:v>등록자ID</x:v>
      </x:c>
      <x:c r="N226" s="35" t="str">
        <x:v>중간</x:v>
      </x:c>
      <x:c r="O226" s="35" t="str">
        <x:v>SYS_ACHV_STNG.RGTR_ID 필드를 Entity/DTO/입력·조회 SQL에 반영하고 기존 데이터 채움 정책 확인</x:v>
      </x:c>
      <x:c r="P226" s="35" t="str">
        <x:v>미착수</x:v>
      </x:c>
      <x:c r="Q226" s="35" t="str"/>
      <x:c r="R226" s="35" t="str"/>
    </x:row>
    <x:row r="227">
      <x:c r="A227" s="35" t="n">
        <x:v>223</x:v>
      </x:c>
      <x:c r="B227" s="35" t="str"/>
      <x:c r="C227" s="35" t="str">
        <x:v>SYS_ACHV_STNG</x:v>
      </x:c>
      <x:c r="D227" s="35" t="str">
        <x:v>신규</x:v>
      </x:c>
      <x:c r="E227" s="35" t="str"/>
      <x:c r="F227" s="35" t="str">
        <x:v>REG_DT</x:v>
      </x:c>
      <x:c r="G227" s="35" t="str">
        <x:v>컬럼 추가</x:v>
      </x:c>
      <x:c r="H227" s="35" t="str">
        <x:v>확실</x:v>
      </x:c>
      <x:c r="I227" s="35" t="str"/>
      <x:c r="J227" s="35" t="str">
        <x:v>DATETIME | NULL | DEFAULT CURRENT_TIMESTAMP</x:v>
      </x:c>
      <x:c r="K227" s="35" t="str">
        <x:v>DATETIME | NULL | DEFAULT CURRENT_TIMESTAMP</x:v>
      </x:c>
      <x:c r="L227" s="35" t="str"/>
      <x:c r="M227" s="35" t="str">
        <x:v>등록일시</x:v>
      </x:c>
      <x:c r="N227" s="35" t="str">
        <x:v>중간</x:v>
      </x:c>
      <x:c r="O227" s="35" t="str">
        <x:v>SYS_ACHV_STNG.REG_DT 필드를 Entity/DTO/입력·조회 SQL에 반영하고 기존 데이터 채움 정책 확인</x:v>
      </x:c>
      <x:c r="P227" s="35" t="str">
        <x:v>미착수</x:v>
      </x:c>
      <x:c r="Q227" s="35" t="str"/>
      <x:c r="R227" s="35" t="str"/>
    </x:row>
    <x:row r="228">
      <x:c r="A228" s="35" t="n">
        <x:v>224</x:v>
      </x:c>
      <x:c r="B228" s="35" t="str"/>
      <x:c r="C228" s="35" t="str">
        <x:v>SYS_ACHV_STNG</x:v>
      </x:c>
      <x:c r="D228" s="35" t="str">
        <x:v>신규</x:v>
      </x:c>
      <x:c r="E228" s="35" t="str"/>
      <x:c r="F228" s="35" t="str">
        <x:v>MDFR_ID</x:v>
      </x:c>
      <x:c r="G228" s="35" t="str">
        <x:v>컬럼 추가</x:v>
      </x:c>
      <x:c r="H228" s="35" t="str">
        <x:v>확실</x:v>
      </x:c>
      <x:c r="I228" s="35" t="str"/>
      <x:c r="J228" s="35" t="str">
        <x:v>VARCHAR(20) | NULL</x:v>
      </x:c>
      <x:c r="K228" s="35" t="str">
        <x:v>VARCHAR(20) | NULL</x:v>
      </x:c>
      <x:c r="L228" s="35" t="str"/>
      <x:c r="M228" s="35" t="str">
        <x:v>수정자ID</x:v>
      </x:c>
      <x:c r="N228" s="35" t="str">
        <x:v>중간</x:v>
      </x:c>
      <x:c r="O228" s="35" t="str">
        <x:v>SYS_ACHV_STNG.MDFR_ID 필드를 Entity/DTO/입력·조회 SQL에 반영하고 기존 데이터 채움 정책 확인</x:v>
      </x:c>
      <x:c r="P228" s="35" t="str">
        <x:v>미착수</x:v>
      </x:c>
      <x:c r="Q228" s="35" t="str"/>
      <x:c r="R228" s="35" t="str"/>
    </x:row>
    <x:row r="229">
      <x:c r="A229" s="35" t="n">
        <x:v>225</x:v>
      </x:c>
      <x:c r="B229" s="35" t="str"/>
      <x:c r="C229" s="35" t="str">
        <x:v>SYS_ACHV_STNG</x:v>
      </x:c>
      <x:c r="D229" s="35" t="str">
        <x:v>신규</x:v>
      </x:c>
      <x:c r="E229" s="35" t="str"/>
      <x:c r="F229" s="35" t="str">
        <x:v>MDFCN_DT</x:v>
      </x:c>
      <x:c r="G229" s="35" t="str">
        <x:v>컬럼 추가</x:v>
      </x:c>
      <x:c r="H229" s="35" t="str">
        <x:v>확실</x:v>
      </x:c>
      <x:c r="I229" s="35" t="str"/>
      <x:c r="J229" s="35" t="str">
        <x:v>DATETIME | NULL</x:v>
      </x:c>
      <x:c r="K229" s="35" t="str">
        <x:v>DATETIME | NULL</x:v>
      </x:c>
      <x:c r="L229" s="35" t="str"/>
      <x:c r="M229" s="35" t="str">
        <x:v>수정일시</x:v>
      </x:c>
      <x:c r="N229" s="35" t="str">
        <x:v>중간</x:v>
      </x:c>
      <x:c r="O229" s="35" t="str">
        <x:v>SYS_ACHV_STNG.MDFCN_DT 필드를 Entity/DTO/입력·조회 SQL에 반영하고 기존 데이터 채움 정책 확인</x:v>
      </x:c>
      <x:c r="P229" s="35" t="str">
        <x:v>미착수</x:v>
      </x:c>
      <x:c r="Q229" s="35" t="str"/>
      <x:c r="R229" s="35" t="str"/>
    </x:row>
  </x:sheetData>
  <x:mergeCells>
    <x:mergeCell ref="A1:R1"/>
    <x:mergeCell ref="A2:R2"/>
  </x:mergeCells>
  <x:conditionalFormatting sqref="G5:G229">
    <x:cfRule type="containsText" dxfId="0" priority="1" operator="containsText" text="삭제"/>
    <x:cfRule type="containsText" dxfId="1" priority="2" operator="containsText" text="추가"/>
    <x:cfRule type="containsText" dxfId="2" priority="3" operator="containsText" text="이름"/>
    <x:cfRule type="containsText" dxfId="3" priority="4" operator="containsText" text="정의 변경"/>
  </x:conditionalFormatting>
  <x:conditionalFormatting sqref="N5:N229">
    <x:cfRule type="containsText" dxfId="4" priority="5" operator="containsText" text="높음"/>
  </x:conditionalFormatting>
  <x:dataValidations count="1">
    <x:dataValidation type="list" sqref="P5:P229">
      <x:formula1>"미착수,진행중,완료,보류,해당없음"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527c03b23d41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14" hidden="0" customWidth="1"/>
    <x:col min="5" max="5" width="28" hidden="0" customWidth="1"/>
    <x:col min="6" max="6" width="32" hidden="0" customWidth="1"/>
    <x:col min="7" max="7" width="10" hidden="0" customWidth="1"/>
    <x:col min="8" max="8" width="20" hidden="0" customWidth="1"/>
    <x:col min="9" max="9" width="20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0" hidden="0" customWidth="1"/>
    <x:col min="15" max="15" width="46" hidden="0" customWidth="1"/>
  </x:cols>
  <x:sheetData>
    <x:row r="1" ht="34" customHeight="1">
      <x:c r="A1" s="37" t="str">
        <x:v>기본키·외래키·인덱스 비교</x:v>
      </x:c>
      <x:c r="B1" s="37" t="str">
        <x:v>기본키·외래키·인덱스 비교</x:v>
      </x:c>
      <x:c r="C1" s="37" t="str">
        <x:v>기본키·외래키·인덱스 비교</x:v>
      </x:c>
      <x:c r="D1" s="37" t="str">
        <x:v>기본키·외래키·인덱스 비교</x:v>
      </x:c>
      <x:c r="E1" s="37" t="str">
        <x:v>기본키·외래키·인덱스 비교</x:v>
      </x:c>
      <x:c r="F1" s="37" t="str">
        <x:v>기본키·외래키·인덱스 비교</x:v>
      </x:c>
      <x:c r="G1" s="37" t="str">
        <x:v>기본키·외래키·인덱스 비교</x:v>
      </x:c>
      <x:c r="H1" s="37" t="str">
        <x:v>기본키·외래키·인덱스 비교</x:v>
      </x:c>
      <x:c r="I1" s="37" t="str">
        <x:v>기본키·외래키·인덱스 비교</x:v>
      </x:c>
      <x:c r="J1" s="37" t="str">
        <x:v>기본키·외래키·인덱스 비교</x:v>
      </x:c>
      <x:c r="K1" s="37" t="str">
        <x:v>기본키·외래키·인덱스 비교</x:v>
      </x:c>
      <x:c r="L1" s="37" t="str">
        <x:v>기본키·외래키·인덱스 비교</x:v>
      </x:c>
      <x:c r="M1" s="37" t="str">
        <x:v>기본키·외래키·인덱스 비교</x:v>
      </x:c>
      <x:c r="N1" s="37" t="str">
        <x:v>기본키·외래키·인덱스 비교</x:v>
      </x:c>
      <x:c r="O1" s="37" t="str">
        <x:v>기본키·외래키·인덱스 비교</x:v>
      </x:c>
    </x:row>
    <x:row r="2" ht="24" customHeight="1">
      <x:c r="A2" s="38" t="str">
        <x:v>after에서 사라지거나 추가된 무결성/성능 요소입니다. 이름이 달라도 정의가 같으면 유지로 판정했습니다.</x:v>
      </x:c>
      <x:c r="B2" s="38" t="str">
        <x:v>after에서 사라지거나 추가된 무결성/성능 요소입니다. 이름이 달라도 정의가 같으면 유지로 판정했습니다.</x:v>
      </x:c>
      <x:c r="C2" s="38" t="str">
        <x:v>after에서 사라지거나 추가된 무결성/성능 요소입니다. 이름이 달라도 정의가 같으면 유지로 판정했습니다.</x:v>
      </x:c>
      <x:c r="D2" s="38" t="str">
        <x:v>after에서 사라지거나 추가된 무결성/성능 요소입니다. 이름이 달라도 정의가 같으면 유지로 판정했습니다.</x:v>
      </x:c>
      <x:c r="E2" s="38" t="str">
        <x:v>after에서 사라지거나 추가된 무결성/성능 요소입니다. 이름이 달라도 정의가 같으면 유지로 판정했습니다.</x:v>
      </x:c>
      <x:c r="F2" s="38" t="str">
        <x:v>after에서 사라지거나 추가된 무결성/성능 요소입니다. 이름이 달라도 정의가 같으면 유지로 판정했습니다.</x:v>
      </x:c>
      <x:c r="G2" s="38" t="str">
        <x:v>after에서 사라지거나 추가된 무결성/성능 요소입니다. 이름이 달라도 정의가 같으면 유지로 판정했습니다.</x:v>
      </x:c>
      <x:c r="H2" s="38" t="str">
        <x:v>after에서 사라지거나 추가된 무결성/성능 요소입니다. 이름이 달라도 정의가 같으면 유지로 판정했습니다.</x:v>
      </x:c>
      <x:c r="I2" s="38" t="str">
        <x:v>after에서 사라지거나 추가된 무결성/성능 요소입니다. 이름이 달라도 정의가 같으면 유지로 판정했습니다.</x:v>
      </x:c>
      <x:c r="J2" s="38" t="str">
        <x:v>after에서 사라지거나 추가된 무결성/성능 요소입니다. 이름이 달라도 정의가 같으면 유지로 판정했습니다.</x:v>
      </x:c>
      <x:c r="K2" s="38" t="str">
        <x:v>after에서 사라지거나 추가된 무결성/성능 요소입니다. 이름이 달라도 정의가 같으면 유지로 판정했습니다.</x:v>
      </x:c>
      <x:c r="L2" s="38" t="str">
        <x:v>after에서 사라지거나 추가된 무결성/성능 요소입니다. 이름이 달라도 정의가 같으면 유지로 판정했습니다.</x:v>
      </x:c>
      <x:c r="M2" s="38" t="str">
        <x:v>after에서 사라지거나 추가된 무결성/성능 요소입니다. 이름이 달라도 정의가 같으면 유지로 판정했습니다.</x:v>
      </x:c>
      <x:c r="N2" s="38" t="str">
        <x:v>after에서 사라지거나 추가된 무결성/성능 요소입니다. 이름이 달라도 정의가 같으면 유지로 판정했습니다.</x:v>
      </x:c>
      <x:c r="O2" s="38" t="str">
        <x:v>after에서 사라지거나 추가된 무결성/성능 요소입니다. 이름이 달라도 정의가 같으면 유지로 판정했습니다.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종류</x:v>
      </x:c>
      <x:c r="E4" s="40" t="str">
        <x:v>Before 이름</x:v>
      </x:c>
      <x:c r="F4" s="40" t="str">
        <x:v>After 이름</x:v>
      </x:c>
      <x:c r="G4" s="40" t="str">
        <x:v>상태</x:v>
      </x:c>
      <x:c r="H4" s="40" t="str">
        <x:v>Before 컬럼</x:v>
      </x:c>
      <x:c r="I4" s="40" t="str">
        <x:v>After 컬럼</x:v>
      </x:c>
      <x:c r="J4" s="40" t="str">
        <x:v>Before 참조</x:v>
      </x:c>
      <x:c r="K4" s="40" t="str">
        <x:v>After 참조</x:v>
      </x:c>
      <x:c r="L4" s="40" t="str">
        <x:v>Before DELETE</x:v>
      </x:c>
      <x:c r="M4" s="40" t="str">
        <x:v>After DELETE</x:v>
      </x:c>
      <x:c r="N4" s="40" t="str">
        <x:v>영향도</x:v>
      </x:c>
      <x:c r="O4" s="40" t="str">
        <x:v>확인 작업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PK</x:v>
      </x:c>
      <x:c r="E5" s="35" t="str">
        <x:v>PK_SYS_ACS_GRP_MENU</x:v>
      </x:c>
      <x:c r="F5" s="35" t="str"/>
      <x:c r="G5" s="35" t="str">
        <x:v>삭제</x:v>
      </x:c>
      <x:c r="H5" s="35" t="str">
        <x:v>MENU_CD, ACS_RTS_GRP_ID</x:v>
      </x:c>
      <x:c r="I5" s="35" t="str"/>
      <x:c r="J5" s="35" t="str"/>
      <x:c r="K5" s="35" t="str"/>
      <x:c r="L5" s="35" t="str"/>
      <x:c r="M5" s="35" t="str"/>
      <x:c r="N5" s="35" t="str">
        <x:v>높음</x:v>
      </x:c>
      <x:c r="O5" s="35" t="str">
        <x:v>삭제 의도 확인 후 쿼리 성능·무결성 회귀 테스트</x:v>
      </x:c>
    </x:row>
    <x:row r="6">
      <x:c r="A6" s="35" t="n">
        <x:v>2</x:v>
      </x:c>
      <x:c r="B6" s="35" t="str">
        <x:v>SYS_ACS_GRP_MENU</x:v>
      </x:c>
      <x:c r="C6" s="35" t="str">
        <x:v>SYS_ACS_GRP_MENU</x:v>
      </x:c>
      <x:c r="D6" s="35" t="str">
        <x:v>PK</x:v>
      </x:c>
      <x:c r="E6" s="35" t="str"/>
      <x:c r="F6" s="35" t="str">
        <x:v>PK_SYS_ACS_GRP_MENU</x:v>
      </x:c>
      <x:c r="G6" s="35" t="str">
        <x:v>추가</x:v>
      </x:c>
      <x:c r="H6" s="35" t="str"/>
      <x:c r="I6" s="35" t="str">
        <x:v>MENU_CD, GRP_ID</x:v>
      </x:c>
      <x:c r="J6" s="35" t="str"/>
      <x:c r="K6" s="35" t="str"/>
      <x:c r="L6" s="35" t="str"/>
      <x:c r="M6" s="35" t="str"/>
      <x:c r="N6" s="35" t="str">
        <x:v>높음</x:v>
      </x:c>
      <x:c r="O6" s="35" t="str">
        <x:v>참조 컬럼 타입 및 기존 데이터 무결성 확인 후 적용</x:v>
      </x:c>
    </x:row>
    <x:row r="7">
      <x:c r="A7" s="35" t="n">
        <x:v>3</x:v>
      </x:c>
      <x:c r="B7" s="35" t="str">
        <x:v>SYS_ACS_GRP_MENU</x:v>
      </x:c>
      <x:c r="C7" s="35" t="str">
        <x:v>SYS_ACS_GRP_MENU</x:v>
      </x:c>
      <x:c r="D7" s="35" t="str">
        <x:v>FK</x:v>
      </x:c>
      <x:c r="E7" s="35" t="str"/>
      <x:c r="F7" s="35" t="str">
        <x:v>FK_SYS_ACS_GRP_MENU_SYS_DEPT_GRP_1:N</x:v>
      </x:c>
      <x:c r="G7" s="35" t="str">
        <x:v>추가</x:v>
      </x:c>
      <x:c r="H7" s="35" t="str"/>
      <x:c r="I7" s="35" t="str">
        <x:v>GRP_ID</x:v>
      </x:c>
      <x:c r="J7" s="35" t="str"/>
      <x:c r="K7" s="35" t="str">
        <x:v>SYS_DEPT_GRP(GRP_ID)</x:v>
      </x:c>
      <x:c r="L7" s="35" t="str"/>
      <x:c r="M7" s="35" t="str">
        <x:v>CASCADE</x:v>
      </x:c>
      <x:c r="N7" s="35" t="str">
        <x:v>높음</x:v>
      </x:c>
      <x:c r="O7" s="35" t="str">
        <x:v>참조 컬럼 타입 및 기존 데이터 무결성 확인 후 적용</x:v>
      </x:c>
    </x:row>
    <x:row r="8">
      <x:c r="A8" s="35" t="n">
        <x:v>4</x:v>
      </x:c>
      <x:c r="B8" s="35" t="str">
        <x:v>SYS_ACS_LOG</x:v>
      </x:c>
      <x:c r="C8" s="35" t="str">
        <x:v>SYS_ACS_LOG</x:v>
      </x:c>
      <x:c r="D8" s="35" t="str">
        <x:v>PK</x:v>
      </x:c>
      <x:c r="E8" s="35" t="str">
        <x:v>PK_SYS_ACS_LOG</x:v>
      </x:c>
      <x:c r="F8" s="35" t="str"/>
      <x:c r="G8" s="35" t="str">
        <x:v>삭제</x:v>
      </x:c>
      <x:c r="H8" s="35" t="str">
        <x:v>ID, SYS_LOGIN_DT</x:v>
      </x:c>
      <x:c r="I8" s="35" t="str"/>
      <x:c r="J8" s="35" t="str"/>
      <x:c r="K8" s="35" t="str"/>
      <x:c r="L8" s="35" t="str"/>
      <x:c r="M8" s="35" t="str"/>
      <x:c r="N8" s="35" t="str">
        <x:v>높음</x:v>
      </x:c>
      <x:c r="O8" s="35" t="str">
        <x:v>삭제 의도 확인 후 쿼리 성능·무결성 회귀 테스트</x:v>
      </x:c>
    </x:row>
    <x:row r="9">
      <x:c r="A9" s="35" t="n">
        <x:v>5</x:v>
      </x:c>
      <x:c r="B9" s="35" t="str">
        <x:v>SYS_ACS_LOG</x:v>
      </x:c>
      <x:c r="C9" s="35" t="str">
        <x:v>SYS_ACS_LOG</x:v>
      </x:c>
      <x:c r="D9" s="35" t="str">
        <x:v>INDEX</x:v>
      </x:c>
      <x:c r="E9" s="35" t="str">
        <x:v>idx_device_stats</x:v>
      </x:c>
      <x:c r="F9" s="35" t="str"/>
      <x:c r="G9" s="35" t="str">
        <x:v>삭제</x:v>
      </x:c>
      <x:c r="H9" s="35" t="str">
        <x:v>DEV_TYPE, OS_NM</x:v>
      </x:c>
      <x:c r="I9" s="35" t="str"/>
      <x:c r="J9" s="35" t="str"/>
      <x:c r="K9" s="35" t="str"/>
      <x:c r="L9" s="35" t="str"/>
      <x:c r="M9" s="35" t="str"/>
      <x:c r="N9" s="35" t="str">
        <x:v>중간</x:v>
      </x:c>
      <x:c r="O9" s="35" t="str">
        <x:v>삭제 의도 확인 후 쿼리 성능·무결성 회귀 테스트</x:v>
      </x:c>
    </x:row>
    <x:row r="10">
      <x:c r="A10" s="35" t="n">
        <x:v>6</x:v>
      </x:c>
      <x:c r="B10" s="35" t="str">
        <x:v>SYS_ACS_LOG</x:v>
      </x:c>
      <x:c r="C10" s="35" t="str">
        <x:v>SYS_ACS_LOG</x:v>
      </x:c>
      <x:c r="D10" s="35" t="str">
        <x:v>INDEX</x:v>
      </x:c>
      <x:c r="E10" s="35" t="str">
        <x:v>idx_login_date</x:v>
      </x:c>
      <x:c r="F10" s="35" t="str"/>
      <x:c r="G10" s="35" t="str">
        <x:v>삭제</x:v>
      </x:c>
      <x:c r="H10" s="35" t="str">
        <x:v>SYS_LOGIN_DT</x:v>
      </x:c>
      <x:c r="I10" s="35" t="str"/>
      <x:c r="J10" s="35" t="str"/>
      <x:c r="K10" s="35" t="str"/>
      <x:c r="L10" s="35" t="str"/>
      <x:c r="M10" s="35" t="str"/>
      <x:c r="N10" s="35" t="str">
        <x:v>중간</x:v>
      </x:c>
      <x:c r="O10" s="35" t="str">
        <x:v>삭제 의도 확인 후 쿼리 성능·무결성 회귀 테스트</x:v>
      </x:c>
    </x:row>
    <x:row r="11">
      <x:c r="A11" s="35" t="n">
        <x:v>7</x:v>
      </x:c>
      <x:c r="B11" s="35" t="str">
        <x:v>SYS_ACS_LOG</x:v>
      </x:c>
      <x:c r="C11" s="35" t="str">
        <x:v>SYS_ACS_LOG</x:v>
      </x:c>
      <x:c r="D11" s="35" t="str">
        <x:v>INDEX</x:v>
      </x:c>
      <x:c r="E11" s="35" t="str">
        <x:v>idx_user_access</x:v>
      </x:c>
      <x:c r="F11" s="35" t="str"/>
      <x:c r="G11" s="35" t="str">
        <x:v>삭제</x:v>
      </x:c>
      <x:c r="H11" s="35" t="str">
        <x:v>USER_ID, SYS_LOGIN_DT</x:v>
      </x:c>
      <x:c r="I11" s="35" t="str"/>
      <x:c r="J11" s="35" t="str"/>
      <x:c r="K11" s="35" t="str"/>
      <x:c r="L11" s="35" t="str"/>
      <x:c r="M11" s="35" t="str"/>
      <x:c r="N11" s="35" t="str">
        <x:v>중간</x:v>
      </x:c>
      <x:c r="O11" s="35" t="str">
        <x:v>삭제 의도 확인 후 쿼리 성능·무결성 회귀 테스트</x:v>
      </x:c>
    </x:row>
    <x:row r="12">
      <x:c r="A12" s="35" t="n">
        <x:v>8</x:v>
      </x:c>
      <x:c r="B12" s="35" t="str">
        <x:v>SYS_ACS_LOG</x:v>
      </x:c>
      <x:c r="C12" s="35" t="str">
        <x:v>SYS_ACS_LOG</x:v>
      </x:c>
      <x:c r="D12" s="35" t="str">
        <x:v>PK</x:v>
      </x:c>
      <x:c r="E12" s="35" t="str"/>
      <x:c r="F12" s="35" t="str">
        <x:v>PK_SYS_ACS_LOG</x:v>
      </x:c>
      <x:c r="G12" s="35" t="str">
        <x:v>추가</x:v>
      </x:c>
      <x:c r="H12" s="35" t="str"/>
      <x:c r="I12" s="35" t="str">
        <x:v>ID, SYS_LGN_DT</x:v>
      </x:c>
      <x:c r="J12" s="35" t="str"/>
      <x:c r="K12" s="35" t="str"/>
      <x:c r="L12" s="35" t="str"/>
      <x:c r="M12" s="35" t="str"/>
      <x:c r="N12" s="35" t="str">
        <x:v>높음</x:v>
      </x:c>
      <x:c r="O12" s="35" t="str">
        <x:v>참조 컬럼 타입 및 기존 데이터 무결성 확인 후 적용</x:v>
      </x:c>
    </x:row>
    <x:row r="13">
      <x:c r="A13" s="35" t="n">
        <x:v>9</x:v>
      </x:c>
      <x:c r="B13" s="35" t="str">
        <x:v>SYS_BBS_MST</x:v>
      </x:c>
      <x:c r="C13" s="35" t="str">
        <x:v>SYS_BBS_MST</x:v>
      </x:c>
      <x:c r="D13" s="35" t="str">
        <x:v>PK</x:v>
      </x:c>
      <x:c r="E13" s="35" t="str">
        <x:v>PK_SYS_BBS_MST</x:v>
      </x:c>
      <x:c r="F13" s="35" t="str">
        <x:v>PK_SYS_BBS_MST</x:v>
      </x:c>
      <x:c r="G13" s="35" t="str">
        <x:v>유지</x:v>
      </x:c>
      <x:c r="H13" s="35" t="str">
        <x:v>BBS_MST_ID</x:v>
      </x:c>
      <x:c r="I13" s="35" t="str">
        <x:v>BBS_MST_ID</x:v>
      </x:c>
      <x:c r="J13" s="35" t="str"/>
      <x:c r="K13" s="35" t="str"/>
      <x:c r="L13" s="35" t="str"/>
      <x:c r="M13" s="35" t="str"/>
      <x:c r="N13" s="35" t="str">
        <x:v>낮음</x:v>
      </x:c>
      <x:c r="O13" s="35" t="str">
        <x:v>변경 없음</x:v>
      </x:c>
    </x:row>
    <x:row r="14">
      <x:c r="A14" s="35" t="n">
        <x:v>10</x:v>
      </x:c>
      <x:c r="B14" s="35" t="str">
        <x:v>SYS_BBS</x:v>
      </x:c>
      <x:c r="C14" s="35" t="str">
        <x:v>SYS_BBS</x:v>
      </x:c>
      <x:c r="D14" s="35" t="str">
        <x:v>PK</x:v>
      </x:c>
      <x:c r="E14" s="35" t="str">
        <x:v>PK_SYS_BBS</x:v>
      </x:c>
      <x:c r="F14" s="35" t="str">
        <x:v>PK_SYS_BBS</x:v>
      </x:c>
      <x:c r="G14" s="35" t="str">
        <x:v>유지</x:v>
      </x:c>
      <x:c r="H14" s="35" t="str">
        <x:v>BBS_ID</x:v>
      </x:c>
      <x:c r="I14" s="35" t="str">
        <x:v>BBS_ID</x:v>
      </x:c>
      <x:c r="J14" s="35" t="str"/>
      <x:c r="K14" s="35" t="str"/>
      <x:c r="L14" s="35" t="str"/>
      <x:c r="M14" s="35" t="str"/>
      <x:c r="N14" s="35" t="str">
        <x:v>낮음</x:v>
      </x:c>
      <x:c r="O14" s="35" t="str">
        <x:v>변경 없음</x:v>
      </x:c>
    </x:row>
    <x:row r="15">
      <x:c r="A15" s="35" t="n">
        <x:v>11</x:v>
      </x:c>
      <x:c r="B15" s="35" t="str">
        <x:v>SYS_BBS</x:v>
      </x:c>
      <x:c r="C15" s="35" t="str">
        <x:v>SYS_BBS</x:v>
      </x:c>
      <x:c r="D15" s="35" t="str">
        <x:v>FK</x:v>
      </x:c>
      <x:c r="E15" s="35" t="str">
        <x:v>FK_SYS_BBS_MST</x:v>
      </x:c>
      <x:c r="F15" s="35" t="str"/>
      <x:c r="G15" s="35" t="str">
        <x:v>삭제</x:v>
      </x:c>
      <x:c r="H15" s="35" t="str">
        <x:v>BBS_MST_ID</x:v>
      </x:c>
      <x:c r="I15" s="35" t="str"/>
      <x:c r="J15" s="35" t="str">
        <x:v>SYS_BBS_MST(BBS_MST_ID)</x:v>
      </x:c>
      <x:c r="K15" s="35" t="str"/>
      <x:c r="L15" s="35" t="str">
        <x:v>CASCADE</x:v>
      </x:c>
      <x:c r="M15" s="35" t="str"/>
      <x:c r="N15" s="35" t="str">
        <x:v>높음</x:v>
      </x:c>
      <x:c r="O15" s="35" t="str">
        <x:v>삭제 의도 확인 후 쿼리 성능·무결성 회귀 테스트</x:v>
      </x:c>
    </x:row>
    <x:row r="16">
      <x:c r="A16" s="35" t="n">
        <x:v>12</x:v>
      </x:c>
      <x:c r="B16" s="35" t="str">
        <x:v>SYS_BBS</x:v>
      </x:c>
      <x:c r="C16" s="35" t="str">
        <x:v>SYS_BBS</x:v>
      </x:c>
      <x:c r="D16" s="35" t="str">
        <x:v>INDEX</x:v>
      </x:c>
      <x:c r="E16" s="35" t="str">
        <x:v>IDX_SYS_BBS_01</x:v>
      </x:c>
      <x:c r="F16" s="35" t="str"/>
      <x:c r="G16" s="35" t="str">
        <x:v>삭제</x:v>
      </x:c>
      <x:c r="H16" s="35" t="str">
        <x:v>BBS_ID</x:v>
      </x:c>
      <x:c r="I16" s="35" t="str"/>
      <x:c r="J16" s="35" t="str"/>
      <x:c r="K16" s="35" t="str"/>
      <x:c r="L16" s="35" t="str"/>
      <x:c r="M16" s="35" t="str"/>
      <x:c r="N16" s="35" t="str">
        <x:v>중간</x:v>
      </x:c>
      <x:c r="O16" s="35" t="str">
        <x:v>삭제 의도 확인 후 쿼리 성능·무결성 회귀 테스트</x:v>
      </x:c>
    </x:row>
    <x:row r="17">
      <x:c r="A17" s="35" t="n">
        <x:v>13</x:v>
      </x:c>
      <x:c r="B17" s="35" t="str">
        <x:v>SYS_BBS_BRD</x:v>
      </x:c>
      <x:c r="C17" s="35" t="str">
        <x:v>SYS_BBS_PST</x:v>
      </x:c>
      <x:c r="D17" s="35" t="str">
        <x:v>PK</x:v>
      </x:c>
      <x:c r="E17" s="35" t="str">
        <x:v>PK_SYS_BBS_BRD</x:v>
      </x:c>
      <x:c r="F17" s="35" t="str"/>
      <x:c r="G17" s="35" t="str">
        <x:v>삭제</x:v>
      </x:c>
      <x:c r="H17" s="35" t="str">
        <x:v>BOARD_ID</x:v>
      </x:c>
      <x:c r="I17" s="35" t="str"/>
      <x:c r="J17" s="35" t="str"/>
      <x:c r="K17" s="35" t="str"/>
      <x:c r="L17" s="35" t="str"/>
      <x:c r="M17" s="35" t="str"/>
      <x:c r="N17" s="35" t="str">
        <x:v>높음</x:v>
      </x:c>
      <x:c r="O17" s="35" t="str">
        <x:v>삭제 의도 확인 후 쿼리 성능·무결성 회귀 테스트</x:v>
      </x:c>
    </x:row>
    <x:row r="18">
      <x:c r="A18" s="35" t="n">
        <x:v>14</x:v>
      </x:c>
      <x:c r="B18" s="35" t="str">
        <x:v>SYS_BBS_BRD</x:v>
      </x:c>
      <x:c r="C18" s="35" t="str">
        <x:v>SYS_BBS_PST</x:v>
      </x:c>
      <x:c r="D18" s="35" t="str">
        <x:v>FK</x:v>
      </x:c>
      <x:c r="E18" s="35" t="str">
        <x:v>FK_SYS_BBS_ID</x:v>
      </x:c>
      <x:c r="F18" s="35" t="str"/>
      <x:c r="G18" s="35" t="str">
        <x:v>삭제</x:v>
      </x:c>
      <x:c r="H18" s="35" t="str">
        <x:v>BBS_ID</x:v>
      </x:c>
      <x:c r="I18" s="35" t="str"/>
      <x:c r="J18" s="35" t="str">
        <x:v>SYS_BBS(BBS_ID)</x:v>
      </x:c>
      <x:c r="K18" s="35" t="str"/>
      <x:c r="L18" s="35" t="str"/>
      <x:c r="M18" s="35" t="str"/>
      <x:c r="N18" s="35" t="str">
        <x:v>높음</x:v>
      </x:c>
      <x:c r="O18" s="35" t="str">
        <x:v>삭제 의도 확인 후 쿼리 성능·무결성 회귀 테스트</x:v>
      </x:c>
    </x:row>
    <x:row r="19">
      <x:c r="A19" s="35" t="n">
        <x:v>15</x:v>
      </x:c>
      <x:c r="B19" s="35" t="str">
        <x:v>SYS_BBS_BRD</x:v>
      </x:c>
      <x:c r="C19" s="35" t="str">
        <x:v>SYS_BBS_PST</x:v>
      </x:c>
      <x:c r="D19" s="35" t="str">
        <x:v>PK</x:v>
      </x:c>
      <x:c r="E19" s="35" t="str"/>
      <x:c r="F19" s="35" t="str">
        <x:v>PK_SYS_BBS_PST</x:v>
      </x:c>
      <x:c r="G19" s="35" t="str">
        <x:v>추가</x:v>
      </x:c>
      <x:c r="H19" s="35" t="str"/>
      <x:c r="I19" s="35" t="str">
        <x:v>PST_ID</x:v>
      </x:c>
      <x:c r="J19" s="35" t="str"/>
      <x:c r="K19" s="35" t="str"/>
      <x:c r="L19" s="35" t="str"/>
      <x:c r="M19" s="35" t="str"/>
      <x:c r="N19" s="35" t="str">
        <x:v>높음</x:v>
      </x:c>
      <x:c r="O19" s="35" t="str">
        <x:v>참조 컬럼 타입 및 기존 데이터 무결성 확인 후 적용</x:v>
      </x:c>
    </x:row>
    <x:row r="20">
      <x:c r="A20" s="35" t="n">
        <x:v>16</x:v>
      </x:c>
      <x:c r="B20" s="35" t="str">
        <x:v>SYS_BBS_RPLY</x:v>
      </x:c>
      <x:c r="C20" s="35" t="str">
        <x:v>SYS_BBS_CMNT</x:v>
      </x:c>
      <x:c r="D20" s="35" t="str">
        <x:v>PK</x:v>
      </x:c>
      <x:c r="E20" s="35" t="str">
        <x:v>PK_SYS_BBS_RPLY</x:v>
      </x:c>
      <x:c r="F20" s="35" t="str"/>
      <x:c r="G20" s="35" t="str">
        <x:v>삭제</x:v>
      </x:c>
      <x:c r="H20" s="35" t="str">
        <x:v>REPLY_ID</x:v>
      </x:c>
      <x:c r="I20" s="35" t="str"/>
      <x:c r="J20" s="35" t="str"/>
      <x:c r="K20" s="35" t="str"/>
      <x:c r="L20" s="35" t="str"/>
      <x:c r="M20" s="35" t="str"/>
      <x:c r="N20" s="35" t="str">
        <x:v>높음</x:v>
      </x:c>
      <x:c r="O20" s="35" t="str">
        <x:v>삭제 의도 확인 후 쿼리 성능·무결성 회귀 테스트</x:v>
      </x:c>
    </x:row>
    <x:row r="21">
      <x:c r="A21" s="35" t="n">
        <x:v>17</x:v>
      </x:c>
      <x:c r="B21" s="35" t="str">
        <x:v>SYS_BBS_RPLY</x:v>
      </x:c>
      <x:c r="C21" s="35" t="str">
        <x:v>SYS_BBS_CMNT</x:v>
      </x:c>
      <x:c r="D21" s="35" t="str">
        <x:v>FK</x:v>
      </x:c>
      <x:c r="E21" s="35" t="str">
        <x:v>SYS_BBS_RPLY_ibfk_1</x:v>
      </x:c>
      <x:c r="F21" s="35" t="str"/>
      <x:c r="G21" s="35" t="str">
        <x:v>삭제</x:v>
      </x:c>
      <x:c r="H21" s="35" t="str">
        <x:v>BOARD_ID</x:v>
      </x:c>
      <x:c r="I21" s="35" t="str"/>
      <x:c r="J21" s="35" t="str">
        <x:v>SYS_BBS_BRD(BOARD_ID)</x:v>
      </x:c>
      <x:c r="K21" s="35" t="str"/>
      <x:c r="L21" s="35" t="str">
        <x:v>CASCADE</x:v>
      </x:c>
      <x:c r="M21" s="35" t="str"/>
      <x:c r="N21" s="35" t="str">
        <x:v>높음</x:v>
      </x:c>
      <x:c r="O21" s="35" t="str">
        <x:v>삭제 의도 확인 후 쿼리 성능·무결성 회귀 테스트</x:v>
      </x:c>
    </x:row>
    <x:row r="22">
      <x:c r="A22" s="35" t="n">
        <x:v>18</x:v>
      </x:c>
      <x:c r="B22" s="35" t="str">
        <x:v>SYS_BBS_RPLY</x:v>
      </x:c>
      <x:c r="C22" s="35" t="str">
        <x:v>SYS_BBS_CMNT</x:v>
      </x:c>
      <x:c r="D22" s="35" t="str">
        <x:v>INDEX</x:v>
      </x:c>
      <x:c r="E22" s="35" t="str">
        <x:v>BOARD_ID</x:v>
      </x:c>
      <x:c r="F22" s="35" t="str"/>
      <x:c r="G22" s="35" t="str">
        <x:v>삭제</x:v>
      </x:c>
      <x:c r="H22" s="35" t="str">
        <x:v>BOARD_ID</x:v>
      </x:c>
      <x:c r="I22" s="35" t="str"/>
      <x:c r="J22" s="35" t="str"/>
      <x:c r="K22" s="35" t="str"/>
      <x:c r="L22" s="35" t="str"/>
      <x:c r="M22" s="35" t="str"/>
      <x:c r="N22" s="35" t="str">
        <x:v>중간</x:v>
      </x:c>
      <x:c r="O22" s="35" t="str">
        <x:v>삭제 의도 확인 후 쿼리 성능·무결성 회귀 테스트</x:v>
      </x:c>
    </x:row>
    <x:row r="23">
      <x:c r="A23" s="35" t="n">
        <x:v>19</x:v>
      </x:c>
      <x:c r="B23" s="35" t="str">
        <x:v>SYS_BBS_RPLY</x:v>
      </x:c>
      <x:c r="C23" s="35" t="str">
        <x:v>SYS_BBS_CMNT</x:v>
      </x:c>
      <x:c r="D23" s="35" t="str">
        <x:v>PK</x:v>
      </x:c>
      <x:c r="E23" s="35" t="str"/>
      <x:c r="F23" s="35" t="str">
        <x:v>PK_SYS_BBS_CMNT</x:v>
      </x:c>
      <x:c r="G23" s="35" t="str">
        <x:v>추가</x:v>
      </x:c>
      <x:c r="H23" s="35" t="str"/>
      <x:c r="I23" s="35" t="str">
        <x:v>CMNT_ID</x:v>
      </x:c>
      <x:c r="J23" s="35" t="str"/>
      <x:c r="K23" s="35" t="str"/>
      <x:c r="L23" s="35" t="str"/>
      <x:c r="M23" s="35" t="str"/>
      <x:c r="N23" s="35" t="str">
        <x:v>높음</x:v>
      </x:c>
      <x:c r="O23" s="35" t="str">
        <x:v>참조 컬럼 타입 및 기존 데이터 무결성 확인 후 적용</x:v>
      </x:c>
    </x:row>
    <x:row r="24">
      <x:c r="A24" s="35" t="n">
        <x:v>20</x:v>
      </x:c>
      <x:c r="B24" s="35" t="str">
        <x:v>SYS_BBS_RPLY</x:v>
      </x:c>
      <x:c r="C24" s="35" t="str">
        <x:v>SYS_BBS_CMNT</x:v>
      </x:c>
      <x:c r="D24" s="35" t="str">
        <x:v>FK</x:v>
      </x:c>
      <x:c r="E24" s="35" t="str"/>
      <x:c r="F24" s="35" t="str">
        <x:v>FK_SYS_BBS_CMNT_SYS_BBS_CMNT_1:N</x:v>
      </x:c>
      <x:c r="G24" s="35" t="str">
        <x:v>추가</x:v>
      </x:c>
      <x:c r="H24" s="35" t="str"/>
      <x:c r="I24" s="35" t="str">
        <x:v>PST_ID</x:v>
      </x:c>
      <x:c r="J24" s="35" t="str"/>
      <x:c r="K24" s="35" t="str">
        <x:v>SYS_BBS_CMNT(CMNT_ID)</x:v>
      </x:c>
      <x:c r="L24" s="35" t="str"/>
      <x:c r="M24" s="35" t="str">
        <x:v>CASCADE</x:v>
      </x:c>
      <x:c r="N24" s="35" t="str">
        <x:v>높음</x:v>
      </x:c>
      <x:c r="O24" s="35" t="str">
        <x:v>참조 컬럼 타입 및 기존 데이터 무결성 확인 후 적용</x:v>
      </x:c>
    </x:row>
    <x:row r="25">
      <x:c r="A25" s="35" t="n">
        <x:v>21</x:v>
      </x:c>
      <x:c r="B25" s="35" t="str">
        <x:v>SYS_CD_GRP</x:v>
      </x:c>
      <x:c r="C25" s="35" t="str">
        <x:v>SYS_CD_GRP</x:v>
      </x:c>
      <x:c r="D25" s="35" t="str">
        <x:v>PK</x:v>
      </x:c>
      <x:c r="E25" s="35" t="str">
        <x:v>PK_SYS_CD_GRP</x:v>
      </x:c>
      <x:c r="F25" s="35" t="str">
        <x:v>PK_SYS_CD_GRP</x:v>
      </x:c>
      <x:c r="G25" s="35" t="str">
        <x:v>유지</x:v>
      </x:c>
      <x:c r="H25" s="35" t="str">
        <x:v>GRP_ID</x:v>
      </x:c>
      <x:c r="I25" s="35" t="str">
        <x:v>GRP_ID</x:v>
      </x:c>
      <x:c r="J25" s="35" t="str"/>
      <x:c r="K25" s="35" t="str"/>
      <x:c r="L25" s="35" t="str"/>
      <x:c r="M25" s="35" t="str"/>
      <x:c r="N25" s="35" t="str">
        <x:v>낮음</x:v>
      </x:c>
      <x:c r="O25" s="35" t="str">
        <x:v>변경 없음</x:v>
      </x:c>
    </x:row>
    <x:row r="26">
      <x:c r="A26" s="35" t="n">
        <x:v>22</x:v>
      </x:c>
      <x:c r="B26" s="35" t="str">
        <x:v>SYS_CD</x:v>
      </x:c>
      <x:c r="C26" s="35" t="str">
        <x:v>SYS_CD</x:v>
      </x:c>
      <x:c r="D26" s="35" t="str">
        <x:v>PK</x:v>
      </x:c>
      <x:c r="E26" s="35" t="str">
        <x:v>PK_SYS_CD</x:v>
      </x:c>
      <x:c r="F26" s="35" t="str"/>
      <x:c r="G26" s="35" t="str">
        <x:v>삭제</x:v>
      </x:c>
      <x:c r="H26" s="35" t="str">
        <x:v>CD_ID, GRP_ID</x:v>
      </x:c>
      <x:c r="I26" s="35" t="str"/>
      <x:c r="J26" s="35" t="str"/>
      <x:c r="K26" s="35" t="str"/>
      <x:c r="L26" s="35" t="str"/>
      <x:c r="M26" s="35" t="str"/>
      <x:c r="N26" s="35" t="str">
        <x:v>높음</x:v>
      </x:c>
      <x:c r="O26" s="35" t="str">
        <x:v>삭제 의도 확인 후 쿼리 성능·무결성 회귀 테스트</x:v>
      </x:c>
    </x:row>
    <x:row r="27">
      <x:c r="A27" s="35" t="n">
        <x:v>23</x:v>
      </x:c>
      <x:c r="B27" s="35" t="str">
        <x:v>SYS_CD</x:v>
      </x:c>
      <x:c r="C27" s="35" t="str">
        <x:v>SYS_CD</x:v>
      </x:c>
      <x:c r="D27" s="35" t="str">
        <x:v>FK</x:v>
      </x:c>
      <x:c r="E27" s="35" t="str">
        <x:v>FK_COMMON_CODE_GROUP_TO_COMMON_CODE_1</x:v>
      </x:c>
      <x:c r="F27" s="35" t="str"/>
      <x:c r="G27" s="35" t="str">
        <x:v>삭제</x:v>
      </x:c>
      <x:c r="H27" s="35" t="str">
        <x:v>GRP_ID</x:v>
      </x:c>
      <x:c r="I27" s="35" t="str"/>
      <x:c r="J27" s="35" t="str">
        <x:v>SYS_CD_GRP(GRP_ID)</x:v>
      </x:c>
      <x:c r="K27" s="35" t="str"/>
      <x:c r="L27" s="35" t="str"/>
      <x:c r="M27" s="35" t="str"/>
      <x:c r="N27" s="35" t="str">
        <x:v>높음</x:v>
      </x:c>
      <x:c r="O27" s="35" t="str">
        <x:v>삭제 의도 확인 후 쿼리 성능·무결성 회귀 테스트</x:v>
      </x:c>
    </x:row>
    <x:row r="28">
      <x:c r="A28" s="35" t="n">
        <x:v>24</x:v>
      </x:c>
      <x:c r="B28" s="35" t="str">
        <x:v>SYS_CD</x:v>
      </x:c>
      <x:c r="C28" s="35" t="str">
        <x:v>SYS_CD</x:v>
      </x:c>
      <x:c r="D28" s="35" t="str">
        <x:v>PK</x:v>
      </x:c>
      <x:c r="E28" s="35" t="str"/>
      <x:c r="F28" s="35" t="str">
        <x:v>PK_SYS_CD</x:v>
      </x:c>
      <x:c r="G28" s="35" t="str">
        <x:v>추가</x:v>
      </x:c>
      <x:c r="H28" s="35" t="str"/>
      <x:c r="I28" s="35" t="str">
        <x:v>GRP_ID, CD_ID</x:v>
      </x:c>
      <x:c r="J28" s="35" t="str"/>
      <x:c r="K28" s="35" t="str"/>
      <x:c r="L28" s="35" t="str"/>
      <x:c r="M28" s="35" t="str"/>
      <x:c r="N28" s="35" t="str">
        <x:v>높음</x:v>
      </x:c>
      <x:c r="O28" s="35" t="str">
        <x:v>참조 컬럼 타입 및 기존 데이터 무결성 확인 후 적용</x:v>
      </x:c>
    </x:row>
    <x:row r="29">
      <x:c r="A29" s="35" t="n">
        <x:v>25</x:v>
      </x:c>
      <x:c r="B29" s="35" t="str">
        <x:v>SYS_CD</x:v>
      </x:c>
      <x:c r="C29" s="35" t="str">
        <x:v>SYS_CD</x:v>
      </x:c>
      <x:c r="D29" s="35" t="str">
        <x:v>FK</x:v>
      </x:c>
      <x:c r="E29" s="35" t="str"/>
      <x:c r="F29" s="35" t="str">
        <x:v>FK_SYS_CD_SYS_CD_GRP_1:N</x:v>
      </x:c>
      <x:c r="G29" s="35" t="str">
        <x:v>추가</x:v>
      </x:c>
      <x:c r="H29" s="35" t="str"/>
      <x:c r="I29" s="35" t="str">
        <x:v>GRP_ID</x:v>
      </x:c>
      <x:c r="J29" s="35" t="str"/>
      <x:c r="K29" s="35" t="str">
        <x:v>SYS_CD_GRP(GRP_ID)</x:v>
      </x:c>
      <x:c r="L29" s="35" t="str"/>
      <x:c r="M29" s="35" t="str">
        <x:v>CASCADE</x:v>
      </x:c>
      <x:c r="N29" s="35" t="str">
        <x:v>높음</x:v>
      </x:c>
      <x:c r="O29" s="35" t="str">
        <x:v>참조 컬럼 타입 및 기존 데이터 무결성 확인 후 적용</x:v>
      </x:c>
    </x:row>
    <x:row r="30">
      <x:c r="A30" s="35" t="n">
        <x:v>26</x:v>
      </x:c>
      <x:c r="B30" s="35" t="str">
        <x:v>SYS_DEPT_GRP</x:v>
      </x:c>
      <x:c r="C30" s="35" t="str">
        <x:v>SYS_DEPT_GRP</x:v>
      </x:c>
      <x:c r="D30" s="35" t="str">
        <x:v>PK</x:v>
      </x:c>
      <x:c r="E30" s="35" t="str">
        <x:v>PK_SYS_DEPT_GRP</x:v>
      </x:c>
      <x:c r="F30" s="35" t="str">
        <x:v>PK_SYS_DEPT_GRP</x:v>
      </x:c>
      <x:c r="G30" s="35" t="str">
        <x:v>유지</x:v>
      </x:c>
      <x:c r="H30" s="35" t="str">
        <x:v>GRP_ID</x:v>
      </x:c>
      <x:c r="I30" s="35" t="str">
        <x:v>GRP_ID</x:v>
      </x:c>
      <x:c r="J30" s="35" t="str"/>
      <x:c r="K30" s="35" t="str"/>
      <x:c r="L30" s="35" t="str"/>
      <x:c r="M30" s="35" t="str"/>
      <x:c r="N30" s="35" t="str">
        <x:v>낮음</x:v>
      </x:c>
      <x:c r="O30" s="35" t="str">
        <x:v>변경 없음</x:v>
      </x:c>
    </x:row>
    <x:row r="31">
      <x:c r="A31" s="35" t="n">
        <x:v>27</x:v>
      </x:c>
      <x:c r="B31" s="35" t="str">
        <x:v>SYS_EVT_LOG</x:v>
      </x:c>
      <x:c r="C31" s="35" t="str">
        <x:v>SYS_ADT_LOG</x:v>
      </x:c>
      <x:c r="D31" s="35" t="str">
        <x:v>PK</x:v>
      </x:c>
      <x:c r="E31" s="35" t="str">
        <x:v>PK_SYS_EVT_LOG</x:v>
      </x:c>
      <x:c r="F31" s="35" t="str"/>
      <x:c r="G31" s="35" t="str">
        <x:v>삭제</x:v>
      </x:c>
      <x:c r="H31" s="35" t="str">
        <x:v>ID, SYS_CRT_DT</x:v>
      </x:c>
      <x:c r="I31" s="35" t="str"/>
      <x:c r="J31" s="35" t="str"/>
      <x:c r="K31" s="35" t="str"/>
      <x:c r="L31" s="35" t="str"/>
      <x:c r="M31" s="35" t="str"/>
      <x:c r="N31" s="35" t="str">
        <x:v>높음</x:v>
      </x:c>
      <x:c r="O31" s="35" t="str">
        <x:v>삭제 의도 확인 후 쿼리 성능·무결성 회귀 테스트</x:v>
      </x:c>
    </x:row>
    <x:row r="32">
      <x:c r="A32" s="35" t="n">
        <x:v>28</x:v>
      </x:c>
      <x:c r="B32" s="35" t="str">
        <x:v>SYS_EVT_LOG</x:v>
      </x:c>
      <x:c r="C32" s="35" t="str">
        <x:v>SYS_ADT_LOG</x:v>
      </x:c>
      <x:c r="D32" s="35" t="str">
        <x:v>INDEX</x:v>
      </x:c>
      <x:c r="E32" s="35" t="str">
        <x:v>idx_action_type</x:v>
      </x:c>
      <x:c r="F32" s="35" t="str"/>
      <x:c r="G32" s="35" t="str">
        <x:v>삭제</x:v>
      </x:c>
      <x:c r="H32" s="35" t="str">
        <x:v>ACT_TYPE</x:v>
      </x:c>
      <x:c r="I32" s="35" t="str"/>
      <x:c r="J32" s="35" t="str"/>
      <x:c r="K32" s="35" t="str"/>
      <x:c r="L32" s="35" t="str"/>
      <x:c r="M32" s="35" t="str"/>
      <x:c r="N32" s="35" t="str">
        <x:v>중간</x:v>
      </x:c>
      <x:c r="O32" s="35" t="str">
        <x:v>삭제 의도 확인 후 쿼리 성능·무결성 회귀 테스트</x:v>
      </x:c>
    </x:row>
    <x:row r="33">
      <x:c r="A33" s="35" t="n">
        <x:v>29</x:v>
      </x:c>
      <x:c r="B33" s="35" t="str">
        <x:v>SYS_EVT_LOG</x:v>
      </x:c>
      <x:c r="C33" s="35" t="str">
        <x:v>SYS_ADT_LOG</x:v>
      </x:c>
      <x:c r="D33" s="35" t="str">
        <x:v>INDEX</x:v>
      </x:c>
      <x:c r="E33" s="35" t="str">
        <x:v>idx_created_at</x:v>
      </x:c>
      <x:c r="F33" s="35" t="str"/>
      <x:c r="G33" s="35" t="str">
        <x:v>삭제</x:v>
      </x:c>
      <x:c r="H33" s="35" t="str">
        <x:v>SYS_CRT_DT</x:v>
      </x:c>
      <x:c r="I33" s="35" t="str"/>
      <x:c r="J33" s="35" t="str"/>
      <x:c r="K33" s="35" t="str"/>
      <x:c r="L33" s="35" t="str"/>
      <x:c r="M33" s="35" t="str"/>
      <x:c r="N33" s="35" t="str">
        <x:v>중간</x:v>
      </x:c>
      <x:c r="O33" s="35" t="str">
        <x:v>삭제 의도 확인 후 쿼리 성능·무결성 회귀 테스트</x:v>
      </x:c>
    </x:row>
    <x:row r="34">
      <x:c r="A34" s="35" t="n">
        <x:v>30</x:v>
      </x:c>
      <x:c r="B34" s="35" t="str">
        <x:v>SYS_EVT_LOG</x:v>
      </x:c>
      <x:c r="C34" s="35" t="str">
        <x:v>SYS_ADT_LOG</x:v>
      </x:c>
      <x:c r="D34" s="35" t="str">
        <x:v>INDEX</x:v>
      </x:c>
      <x:c r="E34" s="35" t="str">
        <x:v>idx_user_event</x:v>
      </x:c>
      <x:c r="F34" s="35" t="str"/>
      <x:c r="G34" s="35" t="str">
        <x:v>삭제</x:v>
      </x:c>
      <x:c r="H34" s="35" t="str">
        <x:v>USER_ID, SYS_CRT_DT</x:v>
      </x:c>
      <x:c r="I34" s="35" t="str"/>
      <x:c r="J34" s="35" t="str"/>
      <x:c r="K34" s="35" t="str"/>
      <x:c r="L34" s="35" t="str"/>
      <x:c r="M34" s="35" t="str"/>
      <x:c r="N34" s="35" t="str">
        <x:v>중간</x:v>
      </x:c>
      <x:c r="O34" s="35" t="str">
        <x:v>삭제 의도 확인 후 쿼리 성능·무결성 회귀 테스트</x:v>
      </x:c>
    </x:row>
    <x:row r="35">
      <x:c r="A35" s="35" t="n">
        <x:v>31</x:v>
      </x:c>
      <x:c r="B35" s="35" t="str">
        <x:v>SYS_EVT_LOG</x:v>
      </x:c>
      <x:c r="C35" s="35" t="str">
        <x:v>SYS_ADT_LOG</x:v>
      </x:c>
      <x:c r="D35" s="35" t="str">
        <x:v>PK</x:v>
      </x:c>
      <x:c r="E35" s="35" t="str"/>
      <x:c r="F35" s="35" t="str">
        <x:v>PK_SYS_ADT_LOG</x:v>
      </x:c>
      <x:c r="G35" s="35" t="str">
        <x:v>추가</x:v>
      </x:c>
      <x:c r="H35" s="35" t="str"/>
      <x:c r="I35" s="35" t="str">
        <x:v>ID</x:v>
      </x:c>
      <x:c r="J35" s="35" t="str"/>
      <x:c r="K35" s="35" t="str"/>
      <x:c r="L35" s="35" t="str"/>
      <x:c r="M35" s="35" t="str"/>
      <x:c r="N35" s="35" t="str">
        <x:v>높음</x:v>
      </x:c>
      <x:c r="O35" s="35" t="str">
        <x:v>참조 컬럼 타입 및 기존 데이터 무결성 확인 후 적용</x:v>
      </x:c>
    </x:row>
    <x:row r="36">
      <x:c r="A36" s="35" t="n">
        <x:v>32</x:v>
      </x:c>
      <x:c r="B36" s="35" t="str">
        <x:v>SYS_FILE</x:v>
      </x:c>
      <x:c r="C36" s="35" t="str">
        <x:v>SYS_FILE</x:v>
      </x:c>
      <x:c r="D36" s="35" t="str">
        <x:v>PK</x:v>
      </x:c>
      <x:c r="E36" s="35" t="str">
        <x:v>PK_SYS_FILE</x:v>
      </x:c>
      <x:c r="F36" s="35" t="str">
        <x:v>PK_SYS_FILE</x:v>
      </x:c>
      <x:c r="G36" s="35" t="str">
        <x:v>유지</x:v>
      </x:c>
      <x:c r="H36" s="35" t="str">
        <x:v>FILE_UUID</x:v>
      </x:c>
      <x:c r="I36" s="35" t="str">
        <x:v>FILE_UUID</x:v>
      </x:c>
      <x:c r="J36" s="35" t="str"/>
      <x:c r="K36" s="35" t="str"/>
      <x:c r="L36" s="35" t="str"/>
      <x:c r="M36" s="35" t="str"/>
      <x:c r="N36" s="35" t="str">
        <x:v>낮음</x:v>
      </x:c>
      <x:c r="O36" s="35" t="str">
        <x:v>변경 없음</x:v>
      </x:c>
    </x:row>
    <x:row r="37">
      <x:c r="A37" s="35" t="n">
        <x:v>33</x:v>
      </x:c>
      <x:c r="B37" s="35" t="str">
        <x:v>SYS_FILE_DTL</x:v>
      </x:c>
      <x:c r="C37" s="35" t="str">
        <x:v>SYS_FILE_DTL</x:v>
      </x:c>
      <x:c r="D37" s="35" t="str">
        <x:v>PK</x:v>
      </x:c>
      <x:c r="E37" s="35" t="str">
        <x:v>PK_SYS_FILE_DTL</x:v>
      </x:c>
      <x:c r="F37" s="35" t="str">
        <x:v>PK_SYS_FILE_DTL</x:v>
      </x:c>
      <x:c r="G37" s="35" t="str">
        <x:v>유지</x:v>
      </x:c>
      <x:c r="H37" s="35" t="str">
        <x:v>FILE_ID, FILE_UUID</x:v>
      </x:c>
      <x:c r="I37" s="35" t="str">
        <x:v>FILE_ID, FILE_UUID</x:v>
      </x:c>
      <x:c r="J37" s="35" t="str"/>
      <x:c r="K37" s="35" t="str"/>
      <x:c r="L37" s="35" t="str"/>
      <x:c r="M37" s="35" t="str"/>
      <x:c r="N37" s="35" t="str">
        <x:v>낮음</x:v>
      </x:c>
      <x:c r="O37" s="35" t="str">
        <x:v>변경 없음</x:v>
      </x:c>
    </x:row>
    <x:row r="38">
      <x:c r="A38" s="35" t="n">
        <x:v>34</x:v>
      </x:c>
      <x:c r="B38" s="35" t="str">
        <x:v>SYS_FILE_DTL</x:v>
      </x:c>
      <x:c r="C38" s="35" t="str">
        <x:v>SYS_FILE_DTL</x:v>
      </x:c>
      <x:c r="D38" s="35" t="str">
        <x:v>FK</x:v>
      </x:c>
      <x:c r="E38" s="35" t="str">
        <x:v>FK_COMMON_FILE_DETAIL</x:v>
      </x:c>
      <x:c r="F38" s="35" t="str"/>
      <x:c r="G38" s="35" t="str">
        <x:v>삭제</x:v>
      </x:c>
      <x:c r="H38" s="35" t="str">
        <x:v>FILE_UUID</x:v>
      </x:c>
      <x:c r="I38" s="35" t="str"/>
      <x:c r="J38" s="35" t="str">
        <x:v>SYS_FILE(FILE_UUID)</x:v>
      </x:c>
      <x:c r="K38" s="35" t="str"/>
      <x:c r="L38" s="35" t="str"/>
      <x:c r="M38" s="35" t="str"/>
      <x:c r="N38" s="35" t="str">
        <x:v>높음</x:v>
      </x:c>
      <x:c r="O38" s="35" t="str">
        <x:v>삭제 의도 확인 후 쿼리 성능·무결성 회귀 테스트</x:v>
      </x:c>
    </x:row>
    <x:row r="39">
      <x:c r="A39" s="35" t="n">
        <x:v>35</x:v>
      </x:c>
      <x:c r="B39" s="35" t="str">
        <x:v>SYS_FILE_DTL</x:v>
      </x:c>
      <x:c r="C39" s="35" t="str">
        <x:v>SYS_FILE_DTL</x:v>
      </x:c>
      <x:c r="D39" s="35" t="str">
        <x:v>FK</x:v>
      </x:c>
      <x:c r="E39" s="35" t="str"/>
      <x:c r="F39" s="35" t="str">
        <x:v>FK_SYS_FILE_DTL_SYS_FILE_1:N</x:v>
      </x:c>
      <x:c r="G39" s="35" t="str">
        <x:v>추가</x:v>
      </x:c>
      <x:c r="H39" s="35" t="str"/>
      <x:c r="I39" s="35" t="str">
        <x:v>FILE_UUID</x:v>
      </x:c>
      <x:c r="J39" s="35" t="str"/>
      <x:c r="K39" s="35" t="str">
        <x:v>SYS_FILE(FILE_UUID)</x:v>
      </x:c>
      <x:c r="L39" s="35" t="str"/>
      <x:c r="M39" s="35" t="str">
        <x:v>CASCADE</x:v>
      </x:c>
      <x:c r="N39" s="35" t="str">
        <x:v>높음</x:v>
      </x:c>
      <x:c r="O39" s="35" t="str">
        <x:v>참조 컬럼 타입 및 기존 데이터 무결성 확인 후 적용</x:v>
      </x:c>
    </x:row>
    <x:row r="40">
      <x:c r="A40" s="35" t="n">
        <x:v>36</x:v>
      </x:c>
      <x:c r="B40" s="35" t="str">
        <x:v>SYS_MENU</x:v>
      </x:c>
      <x:c r="C40" s="35" t="str">
        <x:v>SYS_MENU</x:v>
      </x:c>
      <x:c r="D40" s="35" t="str">
        <x:v>PK</x:v>
      </x:c>
      <x:c r="E40" s="35" t="str">
        <x:v>PK_SYS_MENU</x:v>
      </x:c>
      <x:c r="F40" s="35" t="str">
        <x:v>PK_SYS_MENU</x:v>
      </x:c>
      <x:c r="G40" s="35" t="str">
        <x:v>유지</x:v>
      </x:c>
      <x:c r="H40" s="35" t="str">
        <x:v>MENU_CD</x:v>
      </x:c>
      <x:c r="I40" s="35" t="str">
        <x:v>MENU_CD</x:v>
      </x:c>
      <x:c r="J40" s="35" t="str"/>
      <x:c r="K40" s="35" t="str"/>
      <x:c r="L40" s="35" t="str"/>
      <x:c r="M40" s="35" t="str"/>
      <x:c r="N40" s="35" t="str">
        <x:v>낮음</x:v>
      </x:c>
      <x:c r="O40" s="35" t="str">
        <x:v>변경 없음</x:v>
      </x:c>
    </x:row>
    <x:row r="41">
      <x:c r="A41" s="35" t="n">
        <x:v>37</x:v>
      </x:c>
      <x:c r="B41" s="35" t="str">
        <x:v>SYS_MENU</x:v>
      </x:c>
      <x:c r="C41" s="35" t="str">
        <x:v>SYS_MENU</x:v>
      </x:c>
      <x:c r="D41" s="35" t="str">
        <x:v>UNIQUE</x:v>
      </x:c>
      <x:c r="E41" s="35" t="str">
        <x:v>SYS_MENU_pk</x:v>
      </x:c>
      <x:c r="F41" s="35" t="str"/>
      <x:c r="G41" s="35" t="str">
        <x:v>삭제</x:v>
      </x:c>
      <x:c r="H41" s="35" t="str">
        <x:v>MENU_SEQ</x:v>
      </x:c>
      <x:c r="I41" s="35" t="str"/>
      <x:c r="J41" s="35" t="str"/>
      <x:c r="K41" s="35" t="str"/>
      <x:c r="L41" s="35" t="str"/>
      <x:c r="M41" s="35" t="str"/>
      <x:c r="N41" s="35" t="str">
        <x:v>높음</x:v>
      </x:c>
      <x:c r="O41" s="35" t="str">
        <x:v>삭제 의도 확인 후 쿼리 성능·무결성 회귀 테스트</x:v>
      </x:c>
    </x:row>
    <x:row r="42">
      <x:c r="A42" s="35" t="n">
        <x:v>38</x:v>
      </x:c>
      <x:c r="B42" s="35" t="str">
        <x:v>SYS_OFFC</x:v>
      </x:c>
      <x:c r="C42" s="35" t="str">
        <x:v>SYS_INST</x:v>
      </x:c>
      <x:c r="D42" s="35" t="str">
        <x:v>PK</x:v>
      </x:c>
      <x:c r="E42" s="35" t="str">
        <x:v>PK_SYS_OFFC</x:v>
      </x:c>
      <x:c r="F42" s="35" t="str"/>
      <x:c r="G42" s="35" t="str">
        <x:v>삭제</x:v>
      </x:c>
      <x:c r="H42" s="35" t="str">
        <x:v>OFFC_CD</x:v>
      </x:c>
      <x:c r="I42" s="35" t="str"/>
      <x:c r="J42" s="35" t="str"/>
      <x:c r="K42" s="35" t="str"/>
      <x:c r="L42" s="35" t="str"/>
      <x:c r="M42" s="35" t="str"/>
      <x:c r="N42" s="35" t="str">
        <x:v>높음</x:v>
      </x:c>
      <x:c r="O42" s="35" t="str">
        <x:v>삭제 의도 확인 후 쿼리 성능·무결성 회귀 테스트</x:v>
      </x:c>
    </x:row>
    <x:row r="43">
      <x:c r="A43" s="35" t="n">
        <x:v>39</x:v>
      </x:c>
      <x:c r="B43" s="35" t="str">
        <x:v>SYS_OFFC</x:v>
      </x:c>
      <x:c r="C43" s="35" t="str">
        <x:v>SYS_INST</x:v>
      </x:c>
      <x:c r="D43" s="35" t="str">
        <x:v>PK</x:v>
      </x:c>
      <x:c r="E43" s="35" t="str"/>
      <x:c r="F43" s="35" t="str">
        <x:v>PK_SYS_INST</x:v>
      </x:c>
      <x:c r="G43" s="35" t="str">
        <x:v>추가</x:v>
      </x:c>
      <x:c r="H43" s="35" t="str"/>
      <x:c r="I43" s="35" t="str">
        <x:v>INST_CD</x:v>
      </x:c>
      <x:c r="J43" s="35" t="str"/>
      <x:c r="K43" s="35" t="str"/>
      <x:c r="L43" s="35" t="str"/>
      <x:c r="M43" s="35" t="str"/>
      <x:c r="N43" s="35" t="str">
        <x:v>높음</x:v>
      </x:c>
      <x:c r="O43" s="35" t="str">
        <x:v>참조 컬럼 타입 및 기존 데이터 무결성 확인 후 적용</x:v>
      </x:c>
    </x:row>
    <x:row r="44">
      <x:c r="A44" s="35" t="n">
        <x:v>40</x:v>
      </x:c>
      <x:c r="B44" s="35" t="str">
        <x:v>SYS_OFFC</x:v>
      </x:c>
      <x:c r="C44" s="35" t="str">
        <x:v>SYS_INST</x:v>
      </x:c>
      <x:c r="D44" s="35" t="str">
        <x:v>FK</x:v>
      </x:c>
      <x:c r="E44" s="35" t="str"/>
      <x:c r="F44" s="35" t="str">
        <x:v>FK_SYS_INST_SYS_INST_1:N</x:v>
      </x:c>
      <x:c r="G44" s="35" t="str">
        <x:v>추가</x:v>
      </x:c>
      <x:c r="H44" s="35" t="str"/>
      <x:c r="I44" s="35" t="str">
        <x:v>UP_INST_CD</x:v>
      </x:c>
      <x:c r="J44" s="35" t="str"/>
      <x:c r="K44" s="35" t="str">
        <x:v>SYS_INST(INST_CD)</x:v>
      </x:c>
      <x:c r="L44" s="35" t="str"/>
      <x:c r="M44" s="35" t="str">
        <x:v>CASCADE</x:v>
      </x:c>
      <x:c r="N44" s="35" t="str">
        <x:v>높음</x:v>
      </x:c>
      <x:c r="O44" s="35" t="str">
        <x:v>참조 컬럼 타입 및 기존 데이터 무결성 확인 후 적용</x:v>
      </x:c>
    </x:row>
    <x:row r="45">
      <x:c r="A45" s="35" t="n">
        <x:v>41</x:v>
      </x:c>
      <x:c r="B45" s="35" t="str">
        <x:v>SYS_SITE_CFG</x:v>
      </x:c>
      <x:c r="C45" s="35" t="str">
        <x:v>SYS_SITE_CFG</x:v>
      </x:c>
      <x:c r="D45" s="35" t="str">
        <x:v>PK</x:v>
      </x:c>
      <x:c r="E45" s="35" t="str">
        <x:v>PK_SYS_SITE_CFG</x:v>
      </x:c>
      <x:c r="F45" s="35" t="str">
        <x:v>PK_SYS_SITE_CFG</x:v>
      </x:c>
      <x:c r="G45" s="35" t="str">
        <x:v>유지</x:v>
      </x:c>
      <x:c r="H45" s="35" t="str">
        <x:v>CFG_KEY</x:v>
      </x:c>
      <x:c r="I45" s="35" t="str">
        <x:v>CFG_KEY</x:v>
      </x:c>
      <x:c r="J45" s="35" t="str"/>
      <x:c r="K45" s="35" t="str"/>
      <x:c r="L45" s="35" t="str"/>
      <x:c r="M45" s="35" t="str"/>
      <x:c r="N45" s="35" t="str">
        <x:v>낮음</x:v>
      </x:c>
      <x:c r="O45" s="35" t="str">
        <x:v>변경 없음</x:v>
      </x:c>
    </x:row>
    <x:row r="46">
      <x:c r="A46" s="35" t="n">
        <x:v>42</x:v>
      </x:c>
      <x:c r="B46" s="35" t="str">
        <x:v>SYS_SITE_CFG_GRP</x:v>
      </x:c>
      <x:c r="C46" s="35" t="str">
        <x:v>SYS_SITE_CFG_GRP</x:v>
      </x:c>
      <x:c r="D46" s="35" t="str">
        <x:v>PK</x:v>
      </x:c>
      <x:c r="E46" s="35" t="str">
        <x:v>PK_SYS_SITE_CFG_GRP</x:v>
      </x:c>
      <x:c r="F46" s="35" t="str">
        <x:v>PK_SYS_SITE_CFG_GRP</x:v>
      </x:c>
      <x:c r="G46" s="35" t="str">
        <x:v>유지</x:v>
      </x:c>
      <x:c r="H46" s="35" t="str">
        <x:v>CFG_GRP_ID</x:v>
      </x:c>
      <x:c r="I46" s="35" t="str">
        <x:v>CFG_GRP_ID</x:v>
      </x:c>
      <x:c r="J46" s="35" t="str"/>
      <x:c r="K46" s="35" t="str"/>
      <x:c r="L46" s="35" t="str"/>
      <x:c r="M46" s="35" t="str"/>
      <x:c r="N46" s="35" t="str">
        <x:v>낮음</x:v>
      </x:c>
      <x:c r="O46" s="35" t="str">
        <x:v>변경 없음</x:v>
      </x:c>
    </x:row>
    <x:row r="47">
      <x:c r="A47" s="35" t="n">
        <x:v>43</x:v>
      </x:c>
      <x:c r="B47" s="35" t="str">
        <x:v>SYS_USER</x:v>
      </x:c>
      <x:c r="C47" s="35" t="str">
        <x:v>SYS_USER</x:v>
      </x:c>
      <x:c r="D47" s="35" t="str">
        <x:v>PK</x:v>
      </x:c>
      <x:c r="E47" s="35" t="str">
        <x:v>PK_SYS_USER</x:v>
      </x:c>
      <x:c r="F47" s="35" t="str">
        <x:v>PK_SYS_USER</x:v>
      </x:c>
      <x:c r="G47" s="35" t="str">
        <x:v>유지</x:v>
      </x:c>
      <x:c r="H47" s="35" t="str">
        <x:v>ID</x:v>
      </x:c>
      <x:c r="I47" s="35" t="str">
        <x:v>ID</x:v>
      </x:c>
      <x:c r="J47" s="35" t="str"/>
      <x:c r="K47" s="35" t="str"/>
      <x:c r="L47" s="35" t="str"/>
      <x:c r="M47" s="35" t="str"/>
      <x:c r="N47" s="35" t="str">
        <x:v>낮음</x:v>
      </x:c>
      <x:c r="O47" s="35" t="str">
        <x:v>변경 없음</x:v>
      </x:c>
    </x:row>
    <x:row r="48">
      <x:c r="A48" s="35" t="n">
        <x:v>44</x:v>
      </x:c>
      <x:c r="B48" s="35" t="str">
        <x:v>SYS_TOKEN</x:v>
      </x:c>
      <x:c r="C48" s="35" t="str">
        <x:v>SYS_TOKEN</x:v>
      </x:c>
      <x:c r="D48" s="35" t="str">
        <x:v>PK</x:v>
      </x:c>
      <x:c r="E48" s="35" t="str">
        <x:v>PK_SYS_TOKEN</x:v>
      </x:c>
      <x:c r="F48" s="35" t="str">
        <x:v>PK_SYS_TOKEN</x:v>
      </x:c>
      <x:c r="G48" s="35" t="str">
        <x:v>유지</x:v>
      </x:c>
      <x:c r="H48" s="35" t="str">
        <x:v>ID</x:v>
      </x:c>
      <x:c r="I48" s="35" t="str">
        <x:v>ID</x:v>
      </x:c>
      <x:c r="J48" s="35" t="str"/>
      <x:c r="K48" s="35" t="str"/>
      <x:c r="L48" s="35" t="str"/>
      <x:c r="M48" s="35" t="str"/>
      <x:c r="N48" s="35" t="str">
        <x:v>낮음</x:v>
      </x:c>
      <x:c r="O48" s="35" t="str">
        <x:v>변경 없음</x:v>
      </x:c>
    </x:row>
    <x:row r="49">
      <x:c r="A49" s="35" t="n">
        <x:v>45</x:v>
      </x:c>
      <x:c r="B49" s="35" t="str">
        <x:v>SYS_TOKEN</x:v>
      </x:c>
      <x:c r="C49" s="35" t="str">
        <x:v>SYS_TOKEN</x:v>
      </x:c>
      <x:c r="D49" s="35" t="str">
        <x:v>UNIQUE</x:v>
      </x:c>
      <x:c r="E49" s="35" t="str">
        <x:v>TOKEN</x:v>
      </x:c>
      <x:c r="F49" s="35" t="str"/>
      <x:c r="G49" s="35" t="str">
        <x:v>삭제</x:v>
      </x:c>
      <x:c r="H49" s="35" t="str">
        <x:v>TOKEN</x:v>
      </x:c>
      <x:c r="I49" s="35" t="str"/>
      <x:c r="J49" s="35" t="str"/>
      <x:c r="K49" s="35" t="str"/>
      <x:c r="L49" s="35" t="str"/>
      <x:c r="M49" s="35" t="str"/>
      <x:c r="N49" s="35" t="str">
        <x:v>높음</x:v>
      </x:c>
      <x:c r="O49" s="35" t="str">
        <x:v>삭제 의도 확인 후 쿼리 성능·무결성 회귀 테스트</x:v>
      </x:c>
    </x:row>
    <x:row r="50">
      <x:c r="A50" s="35" t="n">
        <x:v>46</x:v>
      </x:c>
      <x:c r="B50" s="35" t="str">
        <x:v>SYS_TOKEN</x:v>
      </x:c>
      <x:c r="C50" s="35" t="str">
        <x:v>SYS_TOKEN</x:v>
      </x:c>
      <x:c r="D50" s="35" t="str">
        <x:v>FK</x:v>
      </x:c>
      <x:c r="E50" s="35" t="str">
        <x:v>TOKEN_COMMON_USER_ID_fk</x:v>
      </x:c>
      <x:c r="F50" s="35" t="str"/>
      <x:c r="G50" s="35" t="str">
        <x:v>삭제</x:v>
      </x:c>
      <x:c r="H50" s="35" t="str">
        <x:v>USER_ID</x:v>
      </x:c>
      <x:c r="I50" s="35" t="str"/>
      <x:c r="J50" s="35" t="str">
        <x:v>SYS_USER(ID)</x:v>
      </x:c>
      <x:c r="K50" s="35" t="str"/>
      <x:c r="L50" s="35" t="str"/>
      <x:c r="M50" s="35" t="str"/>
      <x:c r="N50" s="35" t="str">
        <x:v>높음</x:v>
      </x:c>
      <x:c r="O50" s="35" t="str">
        <x:v>삭제 의도 확인 후 쿼리 성능·무결성 회귀 테스트</x:v>
      </x:c>
    </x:row>
    <x:row r="51">
      <x:c r="A51" s="35" t="n">
        <x:v>47</x:v>
      </x:c>
      <x:c r="B51" s="35" t="str">
        <x:v>SYS_USER_GRP</x:v>
      </x:c>
      <x:c r="C51" s="35" t="str">
        <x:v>SYS_USER_GRP</x:v>
      </x:c>
      <x:c r="D51" s="35" t="str">
        <x:v>PK</x:v>
      </x:c>
      <x:c r="E51" s="35" t="str">
        <x:v>PK_SYS_USER_GRP</x:v>
      </x:c>
      <x:c r="F51" s="35" t="str"/>
      <x:c r="G51" s="35" t="str">
        <x:v>삭제</x:v>
      </x:c>
      <x:c r="H51" s="35" t="str">
        <x:v>ID, GRP_ID</x:v>
      </x:c>
      <x:c r="I51" s="35" t="str"/>
      <x:c r="J51" s="35" t="str"/>
      <x:c r="K51" s="35" t="str"/>
      <x:c r="L51" s="35" t="str"/>
      <x:c r="M51" s="35" t="str"/>
      <x:c r="N51" s="35" t="str">
        <x:v>높음</x:v>
      </x:c>
      <x:c r="O51" s="35" t="str">
        <x:v>삭제 의도 확인 후 쿼리 성능·무결성 회귀 테스트</x:v>
      </x:c>
    </x:row>
    <x:row r="52">
      <x:c r="A52" s="35" t="n">
        <x:v>48</x:v>
      </x:c>
      <x:c r="B52" s="35" t="str">
        <x:v>SYS_USER_GRP</x:v>
      </x:c>
      <x:c r="C52" s="35" t="str">
        <x:v>SYS_USER_GRP</x:v>
      </x:c>
      <x:c r="D52" s="35" t="str">
        <x:v>PK</x:v>
      </x:c>
      <x:c r="E52" s="35" t="str"/>
      <x:c r="F52" s="35" t="str">
        <x:v>PK_SYS_USER_GRP</x:v>
      </x:c>
      <x:c r="G52" s="35" t="str">
        <x:v>추가</x:v>
      </x:c>
      <x:c r="H52" s="35" t="str"/>
      <x:c r="I52" s="35" t="str">
        <x:v>GRP_ID, ID</x:v>
      </x:c>
      <x:c r="J52" s="35" t="str"/>
      <x:c r="K52" s="35" t="str"/>
      <x:c r="L52" s="35" t="str"/>
      <x:c r="M52" s="35" t="str"/>
      <x:c r="N52" s="35" t="str">
        <x:v>높음</x:v>
      </x:c>
      <x:c r="O52" s="35" t="str">
        <x:v>참조 컬럼 타입 및 기존 데이터 무결성 확인 후 적용</x:v>
      </x:c>
    </x:row>
    <x:row r="53">
      <x:c r="A53" s="35" t="n">
        <x:v>49</x:v>
      </x:c>
      <x:c r="B53" s="35" t="str">
        <x:v>SYS_USER_GRP</x:v>
      </x:c>
      <x:c r="C53" s="35" t="str">
        <x:v>SYS_USER_GRP</x:v>
      </x:c>
      <x:c r="D53" s="35" t="str">
        <x:v>FK</x:v>
      </x:c>
      <x:c r="E53" s="35" t="str"/>
      <x:c r="F53" s="35" t="str">
        <x:v>FK_SYS_USER_GRP_SYS_DEPT_GRP_1:N</x:v>
      </x:c>
      <x:c r="G53" s="35" t="str">
        <x:v>추가</x:v>
      </x:c>
      <x:c r="H53" s="35" t="str"/>
      <x:c r="I53" s="35" t="str">
        <x:v>GRP_ID</x:v>
      </x:c>
      <x:c r="J53" s="35" t="str"/>
      <x:c r="K53" s="35" t="str">
        <x:v>SYS_DEPT_GRP(GRP_ID)</x:v>
      </x:c>
      <x:c r="L53" s="35" t="str"/>
      <x:c r="M53" s="35" t="str">
        <x:v>CASCADE</x:v>
      </x:c>
      <x:c r="N53" s="35" t="str">
        <x:v>높음</x:v>
      </x:c>
      <x:c r="O53" s="35" t="str">
        <x:v>참조 컬럼 타입 및 기존 데이터 무결성 확인 후 적용</x:v>
      </x:c>
    </x:row>
    <x:row r="54">
      <x:c r="A54" s="35" t="n">
        <x:v>50</x:v>
      </x:c>
      <x:c r="B54" s="35" t="str">
        <x:v>SYS_USER_GRP</x:v>
      </x:c>
      <x:c r="C54" s="35" t="str">
        <x:v>SYS_USER_GRP</x:v>
      </x:c>
      <x:c r="D54" s="35" t="str">
        <x:v>FK</x:v>
      </x:c>
      <x:c r="E54" s="35" t="str"/>
      <x:c r="F54" s="35" t="str">
        <x:v>FK_SYS_USER_GRP_SYS_USER_1:N</x:v>
      </x:c>
      <x:c r="G54" s="35" t="str">
        <x:v>추가</x:v>
      </x:c>
      <x:c r="H54" s="35" t="str"/>
      <x:c r="I54" s="35" t="str">
        <x:v>GRP_ID</x:v>
      </x:c>
      <x:c r="J54" s="35" t="str"/>
      <x:c r="K54" s="35" t="str">
        <x:v>SYS_USER(ID)</x:v>
      </x:c>
      <x:c r="L54" s="35" t="str"/>
      <x:c r="M54" s="35" t="str">
        <x:v>CASCADE</x:v>
      </x:c>
      <x:c r="N54" s="35" t="str">
        <x:v>높음</x:v>
      </x:c>
      <x:c r="O54" s="35" t="str">
        <x:v>참조 컬럼 타입 및 기존 데이터 무결성 확인 후 적용</x:v>
      </x:c>
    </x:row>
    <x:row r="55">
      <x:c r="A55" s="35" t="n">
        <x:v>51</x:v>
      </x:c>
      <x:c r="B55" s="35" t="str"/>
      <x:c r="C55" s="35" t="str">
        <x:v>SYS_ACHV_STNG</x:v>
      </x:c>
      <x:c r="D55" s="35" t="str">
        <x:v>PK</x:v>
      </x:c>
      <x:c r="E55" s="35" t="str"/>
      <x:c r="F55" s="35" t="str">
        <x:v>PK_SYS_ACHV_STNG</x:v>
      </x:c>
      <x:c r="G55" s="35" t="str">
        <x:v>추가</x:v>
      </x:c>
      <x:c r="H55" s="35" t="str"/>
      <x:c r="I55" s="35" t="str">
        <x:v>ID</x:v>
      </x:c>
      <x:c r="J55" s="35" t="str"/>
      <x:c r="K55" s="35" t="str"/>
      <x:c r="L55" s="35" t="str"/>
      <x:c r="M55" s="35" t="str"/>
      <x:c r="N55" s="35" t="str">
        <x:v>높음</x:v>
      </x:c>
      <x:c r="O55" s="35" t="str">
        <x:v>참조 컬럼 타입 및 기존 데이터 무결성 확인 후 적용</x:v>
      </x:c>
    </x:row>
    <x:row r="56">
      <x:c r="A56" s="35" t="n">
        <x:v>52</x:v>
      </x:c>
      <x:c r="B56" s="35" t="str"/>
      <x:c r="C56" s="35" t="str">
        <x:v>SYS_ACHV_STNG</x:v>
      </x:c>
      <x:c r="D56" s="35" t="str">
        <x:v>FK</x:v>
      </x:c>
      <x:c r="E56" s="35" t="str"/>
      <x:c r="F56" s="35" t="str">
        <x:v>FK_SYS_ACHV_STNG_SYS_USER_1:N</x:v>
      </x:c>
      <x:c r="G56" s="35" t="str">
        <x:v>추가</x:v>
      </x:c>
      <x:c r="H56" s="35" t="str"/>
      <x:c r="I56" s="35" t="str">
        <x:v>RGTR_ID</x:v>
      </x:c>
      <x:c r="J56" s="35" t="str"/>
      <x:c r="K56" s="35" t="str">
        <x:v>SYS_USER(ID)</x:v>
      </x:c>
      <x:c r="L56" s="35" t="str"/>
      <x:c r="M56" s="35" t="str">
        <x:v>CASCADE</x:v>
      </x:c>
      <x:c r="N56" s="35" t="str">
        <x:v>높음</x:v>
      </x:c>
      <x:c r="O56" s="35" t="str">
        <x:v>참조 컬럼 타입 및 기존 데이터 무결성 확인 후 적용</x:v>
      </x:c>
    </x:row>
  </x:sheetData>
  <x:mergeCells>
    <x:mergeCell ref="A1:O1"/>
    <x:mergeCell ref="A2:O2"/>
  </x:mergeCells>
  <x:conditionalFormatting sqref="G5:G56">
    <x:cfRule type="containsText" dxfId="5" priority="1" operator="containsText" text="삭제"/>
    <x:cfRule type="containsText" dxfId="6" priority="2" operator="containsText" text="추가"/>
  </x:conditionalFormatting>
  <x:pageMargins left="0.7" right="0.7" top="0.75" bottom="0.75" header="0.3" footer="0.3"/>
  <x:tableParts count="1">
    <x:tablePart xmlns:r="http://schemas.openxmlformats.org/officeDocument/2006/relationships" r:id="R80307992bc41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1" hidden="0" customWidth="1"/>
    <x:col min="4" max="4" width="56" hidden="0" customWidth="1"/>
    <x:col min="5" max="5" width="50" hidden="0" customWidth="1"/>
    <x:col min="6" max="6" width="58" hidden="0" customWidth="1"/>
  </x:cols>
  <x:sheetData>
    <x:row r="1" ht="34" customHeight="1">
      <x:c r="A1" s="37" t="str">
        <x:v>After.sql 적용 전 필수 확인사항</x:v>
      </x:c>
      <x:c r="B1" s="37" t="str">
        <x:v>After.sql 적용 전 필수 확인사항</x:v>
      </x:c>
      <x:c r="C1" s="37" t="str">
        <x:v>After.sql 적용 전 필수 확인사항</x:v>
      </x:c>
      <x:c r="D1" s="37" t="str">
        <x:v>After.sql 적용 전 필수 확인사항</x:v>
      </x:c>
      <x:c r="E1" s="37" t="str">
        <x:v>After.sql 적용 전 필수 확인사항</x:v>
      </x:c>
      <x:c r="F1" s="37" t="str">
        <x:v>After.sql 적용 전 필수 확인사항</x:v>
      </x:c>
    </x:row>
    <x:row r="2" ht="24" customHeight="1">
      <x:c r="A2" s="38" t="str">
        <x:v>문법 오류 가능성, FK 타입 불일치, 설계상 의심 항목입니다. P0는 DDL/코드 작업 전에 반드시 확정하세요.</x:v>
      </x:c>
      <x:c r="B2" s="38" t="str">
        <x:v>문법 오류 가능성, FK 타입 불일치, 설계상 의심 항목입니다. P0는 DDL/코드 작업 전에 반드시 확정하세요.</x:v>
      </x:c>
      <x:c r="C2" s="38" t="str">
        <x:v>문법 오류 가능성, FK 타입 불일치, 설계상 의심 항목입니다. P0는 DDL/코드 작업 전에 반드시 확정하세요.</x:v>
      </x:c>
      <x:c r="D2" s="38" t="str">
        <x:v>문법 오류 가능성, FK 타입 불일치, 설계상 의심 항목입니다. P0는 DDL/코드 작업 전에 반드시 확정하세요.</x:v>
      </x:c>
      <x:c r="E2" s="38" t="str">
        <x:v>문법 오류 가능성, FK 타입 불일치, 설계상 의심 항목입니다. P0는 DDL/코드 작업 전에 반드시 확정하세요.</x:v>
      </x:c>
      <x:c r="F2" s="38" t="str">
        <x:v>문법 오류 가능성, FK 타입 불일치, 설계상 의심 항목입니다. P0는 DDL/코드 작업 전에 반드시 확정하세요.</x:v>
      </x:c>
    </x:row>
    <x:row r="3">
      <x:c r="A3" s="39"/>
      <x:c r="B3" s="39"/>
      <x:c r="C3" s="39"/>
      <x:c r="D3" s="39"/>
      <x:c r="E3" s="39"/>
      <x:c r="F3" s="39"/>
    </x:row>
    <x:row r="4" ht="34" customHeight="1">
      <x:c r="A4" s="40" t="str">
        <x:v>우선순위</x:v>
      </x:c>
      <x:c r="B4" s="40" t="str">
        <x:v>분류</x:v>
      </x:c>
      <x:c r="C4" s="40" t="str">
        <x:v>대상</x:v>
      </x:c>
      <x:c r="D4" s="40" t="str">
        <x:v>발견 내용</x:v>
      </x:c>
      <x:c r="E4" s="40" t="str">
        <x:v>예상 영향</x:v>
      </x:c>
      <x:c r="F4" s="40" t="str">
        <x:v>확인/수정 제안</x:v>
      </x:c>
    </x:row>
    <x:row r="5">
      <x:c r="A5" s="35" t="str">
        <x:v>P0</x:v>
      </x:c>
      <x:c r="B5" s="35" t="str">
        <x:v>문법</x:v>
      </x:c>
      <x:c r="C5" s="35" t="str">
        <x:v>SYS_ACS_LOG.ISTR_TYPE</x:v>
      </x:c>
      <x:c r="D5" s="35" t="str">
        <x:v>ENUM 값 목록 없이 ENUM만 선언됨</x:v>
      </x:c>
      <x:c r="E5" s="35" t="str">
        <x:v>MySQL CREATE TABLE 실행 실패 가능</x:v>
      </x:c>
      <x:c r="F5" s="35" t="str">
        <x:v>ENUM('PC','MOBILE','TABLET','OTHER') 등 허용값 확정</x:v>
      </x:c>
    </x:row>
    <x:row r="6">
      <x:c r="A6" s="35" t="str">
        <x:v>P0</x:v>
      </x:c>
      <x:c r="B6" s="35" t="str">
        <x:v>문법</x:v>
      </x:c>
      <x:c r="C6" s="35" t="str">
        <x:v>SYS_ACHV_STNG.ID</x:v>
      </x:c>
      <x:c r="D6" s="35" t="str">
        <x:v>DEFAULT auto_increment 형태</x:v>
      </x:c>
      <x:c r="E6" s="35" t="str">
        <x:v>MySQL 문법 오류 가능</x:v>
      </x:c>
      <x:c r="F6" s="35" t="str">
        <x:v>BIGINT AUTO_INCREMENT PRIMARY KEY 형태로 수정</x:v>
      </x:c>
    </x:row>
    <x:row r="7">
      <x:c r="A7" s="35" t="str">
        <x:v>P0</x:v>
      </x:c>
      <x:c r="B7" s="35" t="str">
        <x:v>외래키</x:v>
      </x:c>
      <x:c r="C7" s="35" t="str">
        <x:v>SYS_BBS_CMNT.PST_ID</x:v>
      </x:c>
      <x:c r="D7" s="35" t="str">
        <x:v>SYS_BBS_CMNT.CMNT_ID를 참조하는 자기참조 FK</x:v>
      </x:c>
      <x:c r="E7" s="35" t="str">
        <x:v>댓글의 게시물 연결이 잘못되고 FK 의미 불일치</x:v>
      </x:c>
      <x:c r="F7" s="35" t="str">
        <x:v>SYS_BBS_PST(PST_ID) 참조가 맞는지 확인</x:v>
      </x:c>
    </x:row>
    <x:row r="8">
      <x:c r="A8" s="35" t="str">
        <x:v>P0</x:v>
      </x:c>
      <x:c r="B8" s="35" t="str">
        <x:v>외래키</x:v>
      </x:c>
      <x:c r="C8" s="35" t="str">
        <x:v>SYS_USER_GRP.GRP_ID</x:v>
      </x:c>
      <x:c r="D8" s="35" t="str">
        <x:v>SYS_USER(ID)를 참조하며 VARCHAR(32)→BIGINT 타입도 불일치</x:v>
      </x:c>
      <x:c r="E8" s="35" t="str">
        <x:v>FK 생성 실패 가능</x:v>
      </x:c>
      <x:c r="F8" s="35" t="str">
        <x:v>USER 식별 컬럼(ID 또는 USER_ID)으로 FK 재설계</x:v>
      </x:c>
    </x:row>
    <x:row r="9">
      <x:c r="A9" s="35" t="str">
        <x:v>P0</x:v>
      </x:c>
      <x:c r="B9" s="35" t="str">
        <x:v>외래키</x:v>
      </x:c>
      <x:c r="C9" s="35" t="str">
        <x:v>SYS_ACHV_STNG.RGTR_ID</x:v>
      </x:c>
      <x:c r="D9" s="35" t="str">
        <x:v>VARCHAR(20)에서 SYS_USER.ID BIGINT 참조</x:v>
      </x:c>
      <x:c r="E9" s="35" t="str">
        <x:v>FK 생성 실패 가능</x:v>
      </x:c>
      <x:c r="F9" s="35" t="str">
        <x:v>타입을 맞추거나 USER_ID 참조로 변경</x:v>
      </x:c>
    </x:row>
    <x:row r="10">
      <x:c r="A10" s="35" t="str">
        <x:v>P1</x:v>
      </x:c>
      <x:c r="B10" s="35" t="str">
        <x:v>기본키</x:v>
      </x:c>
      <x:c r="C10" s="35" t="str">
        <x:v>SYS_FILE_DTL / SYS_USER_GRP / SYS_CD / SYS_ACS_LOG</x:v>
      </x:c>
      <x:c r="D10" s="35" t="str">
        <x:v>컬럼별 PRIMARY KEY가 반복 선언됨</x:v>
      </x:c>
      <x:c r="E10" s="35" t="str">
        <x:v>복합키 의도라면 DDL 실행 또는 모델 해석 오류</x:v>
      </x:c>
      <x:c r="F10" s="35" t="str">
        <x:v>PRIMARY KEY(col1,col2) 테이블 제약조건으로 통합</x:v>
      </x:c>
    </x:row>
    <x:row r="11">
      <x:c r="A11" s="35" t="str">
        <x:v>P1</x:v>
      </x:c>
      <x:c r="B11" s="35" t="str">
        <x:v>외래키</x:v>
      </x:c>
      <x:c r="C11" s="35" t="str">
        <x:v>SYS_BBS</x:v>
      </x:c>
      <x:c r="D11" s="35" t="str">
        <x:v>before의 SYS_BBS_MST FK가 after에서 사라짐</x:v>
      </x:c>
      <x:c r="E11" s="35" t="str">
        <x:v>게시판 마스터 무결성 약화</x:v>
      </x:c>
      <x:c r="F11" s="35" t="str">
        <x:v>삭제 의도 확인 후 FK 유지 여부 결정</x:v>
      </x:c>
    </x:row>
    <x:row r="12">
      <x:c r="A12" s="35" t="str">
        <x:v>P1</x:v>
      </x:c>
      <x:c r="B12" s="35" t="str">
        <x:v>인덱스</x:v>
      </x:c>
      <x:c r="C12" s="35" t="str">
        <x:v>SYS_ACS_LOG</x:v>
      </x:c>
      <x:c r="D12" s="35" t="str">
        <x:v>파티션 및 3개 조회 인덱스가 after에서 사라짐</x:v>
      </x:c>
      <x:c r="E12" s="35" t="str">
        <x:v>로그 조회 성능과 보관 정책 영향</x:v>
      </x:c>
      <x:c r="F12" s="35" t="str">
        <x:v>파티션/인덱스 유지 여부를 운영 기준으로 결정</x:v>
      </x:c>
    </x:row>
    <x:row r="13">
      <x:c r="A13" s="35" t="str">
        <x:v>P1</x:v>
      </x:c>
      <x:c r="B13" s="35" t="str">
        <x:v>제약조건</x:v>
      </x:c>
      <x:c r="C13" s="35" t="str">
        <x:v>SYS_TOKEN.TOKEN_VL</x:v>
      </x:c>
      <x:c r="D13" s="35" t="str">
        <x:v>before의 TOKEN UNIQUE와 USER FK가 after에서 사라짐</x:v>
      </x:c>
      <x:c r="E13" s="35" t="str">
        <x:v>중복 토큰 및 고아 토큰 가능</x:v>
      </x:c>
      <x:c r="F13" s="35" t="str">
        <x:v>UNIQUE/FK 삭제 의도 확인</x:v>
      </x:c>
    </x:row>
    <x:row r="14">
      <x:c r="A14" s="35" t="str">
        <x:v>P1</x:v>
      </x:c>
      <x:c r="B14" s="35" t="str">
        <x:v>의미</x:v>
      </x:c>
      <x:c r="C14" s="35" t="str">
        <x:v>SYS_CD.TUN_APRV_YMD</x:v>
      </x:c>
      <x:c r="D14" s="35" t="str">
        <x:v>주석은 시스템수정자ID이나 컬럼명은 승인일자처럼 보이고 VARCHAR(20)</x:v>
      </x:c>
      <x:c r="E14" s="35" t="str">
        <x:v>잘못된 컬럼 매핑 가능</x:v>
      </x:c>
      <x:c r="F14" s="35" t="str">
        <x:v>SYS_MDFR_ID 누락 여부 및 실제 업무 의미 확인</x:v>
      </x:c>
    </x:row>
  </x:sheetData>
  <x:mergeCells>
    <x:mergeCell ref="A1:F1"/>
    <x:mergeCell ref="A2:F2"/>
  </x:mergeCells>
  <x:conditionalFormatting sqref="A5:A14">
    <x:cfRule type="containsText" dxfId="7" priority="1" operator="containsText" text="P0"/>
    <x:cfRule type="containsText" dxfId="8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cd4e2397edb543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7" hidden="0" customWidth="1"/>
    <x:col min="8" max="8" width="62" hidden="0" customWidth="1"/>
    <x:col min="9" max="9" width="12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 ht="34" customHeight="1">
      <x:c r="A1" s="37" t="str">
        <x:v>실행용 마이그레이션 체크리스트</x:v>
      </x:c>
      <x:c r="B1" s="37" t="str">
        <x:v>실행용 마이그레이션 체크리스트</x:v>
      </x:c>
      <x:c r="C1" s="37" t="str">
        <x:v>실행용 마이그레이션 체크리스트</x:v>
      </x:c>
      <x:c r="D1" s="37" t="str">
        <x:v>실행용 마이그레이션 체크리스트</x:v>
      </x:c>
      <x:c r="E1" s="37" t="str">
        <x:v>실행용 마이그레이션 체크리스트</x:v>
      </x:c>
      <x:c r="F1" s="37" t="str">
        <x:v>실행용 마이그레이션 체크리스트</x:v>
      </x:c>
      <x:c r="G1" s="37" t="str">
        <x:v>실행용 마이그레이션 체크리스트</x:v>
      </x:c>
      <x:c r="H1" s="37" t="str">
        <x:v>실행용 마이그레이션 체크리스트</x:v>
      </x:c>
      <x:c r="I1" s="37" t="str">
        <x:v>실행용 마이그레이션 체크리스트</x:v>
      </x:c>
      <x:c r="J1" s="37" t="str">
        <x:v>실행용 마이그레이션 체크리스트</x:v>
      </x:c>
      <x:c r="K1" s="37" t="str">
        <x:v>실행용 마이그레이션 체크리스트</x:v>
      </x:c>
      <x:c r="L1" s="37" t="str">
        <x:v>실행용 마이그레이션 체크리스트</x:v>
      </x:c>
    </x:row>
    <x:row r="2" ht="24" customHeight="1">
      <x:c r="A2" s="38" t="str">
        <x:v>변경이 필요한 컬럼만 모았습니다. 담당자·상태·완료일을 직접 관리할 수 있습니다.</x:v>
      </x:c>
      <x:c r="B2" s="38" t="str">
        <x:v>변경이 필요한 컬럼만 모았습니다. 담당자·상태·완료일을 직접 관리할 수 있습니다.</x:v>
      </x:c>
      <x:c r="C2" s="38" t="str">
        <x:v>변경이 필요한 컬럼만 모았습니다. 담당자·상태·완료일을 직접 관리할 수 있습니다.</x:v>
      </x:c>
      <x:c r="D2" s="38" t="str">
        <x:v>변경이 필요한 컬럼만 모았습니다. 담당자·상태·완료일을 직접 관리할 수 있습니다.</x:v>
      </x:c>
      <x:c r="E2" s="38" t="str">
        <x:v>변경이 필요한 컬럼만 모았습니다. 담당자·상태·완료일을 직접 관리할 수 있습니다.</x:v>
      </x:c>
      <x:c r="F2" s="38" t="str">
        <x:v>변경이 필요한 컬럼만 모았습니다. 담당자·상태·완료일을 직접 관리할 수 있습니다.</x:v>
      </x:c>
      <x:c r="G2" s="38" t="str">
        <x:v>변경이 필요한 컬럼만 모았습니다. 담당자·상태·완료일을 직접 관리할 수 있습니다.</x:v>
      </x:c>
      <x:c r="H2" s="38" t="str">
        <x:v>변경이 필요한 컬럼만 모았습니다. 담당자·상태·완료일을 직접 관리할 수 있습니다.</x:v>
      </x:c>
      <x:c r="I2" s="38" t="str">
        <x:v>변경이 필요한 컬럼만 모았습니다. 담당자·상태·완료일을 직접 관리할 수 있습니다.</x:v>
      </x:c>
      <x:c r="J2" s="38" t="str">
        <x:v>변경이 필요한 컬럼만 모았습니다. 담당자·상태·완료일을 직접 관리할 수 있습니다.</x:v>
      </x:c>
      <x:c r="K2" s="38" t="str">
        <x:v>변경이 필요한 컬럼만 모았습니다. 담당자·상태·완료일을 직접 관리할 수 있습니다.</x:v>
      </x:c>
      <x:c r="L2" s="38" t="str">
        <x:v>변경이 필요한 컬럼만 모았습니다. 담당자·상태·완료일을 직접 관리할 수 있습니다.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 ht="34" customHeight="1">
      <x:c r="A4" s="40" t="str">
        <x:v>No</x:v>
      </x:c>
      <x:c r="B4" s="40" t="str">
        <x:v>우선순위</x:v>
      </x:c>
      <x:c r="C4" s="40" t="str">
        <x:v>Before 테이블</x:v>
      </x:c>
      <x:c r="D4" s="40" t="str">
        <x:v>After 테이블</x:v>
      </x:c>
      <x:c r="E4" s="40" t="str">
        <x:v>Before 컬럼</x:v>
      </x:c>
      <x:c r="F4" s="40" t="str">
        <x:v>After 컬럼</x:v>
      </x:c>
      <x:c r="G4" s="40" t="str">
        <x:v>변경 유형</x:v>
      </x:c>
      <x:c r="H4" s="40" t="str">
        <x:v>작업 내용</x:v>
      </x:c>
      <x:c r="I4" s="40" t="str">
        <x:v>상태</x:v>
      </x:c>
      <x:c r="J4" s="40" t="str">
        <x:v>담당자</x:v>
      </x:c>
      <x:c r="K4" s="40" t="str">
        <x:v>완료일</x:v>
      </x:c>
      <x:c r="L4" s="40" t="str">
        <x:v>비고</x:v>
      </x:c>
    </x:row>
    <x:row r="5">
      <x:c r="A5" s="35" t="n">
        <x:v>1</x:v>
      </x:c>
      <x:c r="B5" s="35" t="str">
        <x:v>P2</x:v>
      </x:c>
      <x:c r="C5" s="35" t="str">
        <x:v>SYS_ACS_GRP_MENU</x:v>
      </x:c>
      <x:c r="D5" s="35" t="str">
        <x:v>SYS_ACS_GRP_MENU</x:v>
      </x:c>
      <x:c r="E5" s="35" t="str">
        <x:v>ACS_RTS_GRP_ID</x:v>
      </x:c>
      <x:c r="F5" s="35" t="str">
        <x:v>GRP_ID</x:v>
      </x:c>
      <x:c r="G5" s="35" t="str">
        <x:v>이름변경</x:v>
      </x:c>
      <x:c r="H5" s="35" t="str">
        <x:v>SYS_ACS_GRP_MENU.ACS_RTS_GRP_ID 참조를 SYS_ACS_GRP_MENU.GRP_ID로 변경하고 SQL alias/직렬화 명칭 점검</x:v>
      </x:c>
      <x:c r="I5" s="35" t="str">
        <x:v>미착수</x:v>
      </x:c>
      <x:c r="J5" s="35" t="str"/>
      <x:c r="K5" s="36" t="str"/>
      <x:c r="L5" s="35" t="str"/>
    </x:row>
    <x:row r="6">
      <x:c r="A6" s="35" t="n">
        <x:v>2</x:v>
      </x:c>
      <x:c r="B6" s="35" t="str">
        <x:v>P2</x:v>
      </x:c>
      <x:c r="C6" s="35" t="str">
        <x:v>SYS_ACS_GRP_MENU</x:v>
      </x:c>
      <x:c r="D6" s="35" t="str">
        <x:v>SYS_ACS_GRP_MENU</x:v>
      </x:c>
      <x:c r="E6" s="35" t="str">
        <x:v>SYS_CRT_DT</x:v>
      </x:c>
      <x:c r="F6" s="35" t="str">
        <x:v>SYS_GEN_DT</x:v>
      </x:c>
      <x:c r="G6" s="35" t="str">
        <x:v>이름변경</x:v>
      </x:c>
      <x:c r="H6" s="35" t="str">
        <x:v>SYS_ACS_GRP_MENU.SYS_CRT_DT 참조를 SYS_ACS_GRP_MENU.SYS_GEN_DT로 변경하고 SQL alias/직렬화 명칭 점검</x:v>
      </x:c>
      <x:c r="I6" s="35" t="str">
        <x:v>미착수</x:v>
      </x:c>
      <x:c r="J6" s="35" t="str"/>
      <x:c r="K6" s="36" t="str"/>
      <x:c r="L6" s="35" t="str"/>
    </x:row>
    <x:row r="7">
      <x:c r="A7" s="35" t="n">
        <x:v>3</x:v>
      </x:c>
      <x:c r="B7" s="35" t="str">
        <x:v>P2</x:v>
      </x:c>
      <x:c r="C7" s="35" t="str">
        <x:v>SYS_ACS_GRP_MENU</x:v>
      </x:c>
      <x:c r="D7" s="35" t="str">
        <x:v>SYS_ACS_GRP_MENU</x:v>
      </x:c>
      <x:c r="E7" s="35" t="str">
        <x:v>SYS_UPD_DT</x:v>
      </x:c>
      <x:c r="F7" s="35" t="str">
        <x:v>SYS_MDFCN_DT</x:v>
      </x:c>
      <x:c r="G7" s="35" t="str">
        <x:v>이름변경</x:v>
      </x:c>
      <x:c r="H7" s="35" t="str">
        <x:v>SYS_ACS_GRP_MENU.SYS_UPD_DT 참조를 SYS_ACS_GRP_MENU.SYS_MDFCN_DT로 변경하고 SQL alias/직렬화 명칭 점검</x:v>
      </x:c>
      <x:c r="I7" s="35" t="str">
        <x:v>미착수</x:v>
      </x:c>
      <x:c r="J7" s="35" t="str"/>
      <x:c r="K7" s="36" t="str"/>
      <x:c r="L7" s="35" t="str"/>
    </x:row>
    <x:row r="8">
      <x:c r="A8" s="35" t="n">
        <x:v>4</x:v>
      </x:c>
      <x:c r="B8" s="35" t="str">
        <x:v>P2</x:v>
      </x:c>
      <x:c r="C8" s="35" t="str">
        <x:v>SYS_ACS_GRP_MENU</x:v>
      </x:c>
      <x:c r="D8" s="35" t="str">
        <x:v>SYS_ACS_GRP_MENU</x:v>
      </x:c>
      <x:c r="E8" s="35" t="str">
        <x:v>SYS_UPD_USR_ID</x:v>
      </x:c>
      <x:c r="F8" s="35" t="str">
        <x:v>SYS_MDFR_ID</x:v>
      </x:c>
      <x:c r="G8" s="35" t="str">
        <x:v>이름+정의 변경</x:v>
      </x:c>
      <x:c r="H8" s="35" t="str">
        <x:v>코드 변경 불필요. 회귀 테스트만 수행</x:v>
      </x:c>
      <x:c r="I8" s="35" t="str">
        <x:v>미착수</x:v>
      </x:c>
      <x:c r="J8" s="35" t="str"/>
      <x:c r="K8" s="36" t="str"/>
      <x:c r="L8" s="35" t="str"/>
    </x:row>
    <x:row r="9">
      <x:c r="A9" s="35" t="n">
        <x:v>5</x:v>
      </x:c>
      <x:c r="B9" s="35" t="str">
        <x:v>P1</x:v>
      </x:c>
      <x:c r="C9" s="35" t="str">
        <x:v>SYS_ACS_LOG</x:v>
      </x:c>
      <x:c r="D9" s="35" t="str">
        <x:v>SYS_ACS_LOG</x:v>
      </x:c>
      <x:c r="E9" s="35" t="str">
        <x:v>EMAIL</x:v>
      </x:c>
      <x:c r="F9" s="35" t="str">
        <x:v>UP_GRP_ID</x:v>
      </x:c>
      <x:c r="G9" s="35" t="str">
        <x:v>이름변경</x:v>
      </x:c>
      <x:c r="H9" s="35" t="str">
        <x:v>SYS_ACS_LOG.EMAIL 참조를 SYS_ACS_LOG.UP_GRP_ID로 변경하고 SQL alias/직렬화 명칭 점검</x:v>
      </x:c>
      <x:c r="I9" s="35" t="str">
        <x:v>미착수</x:v>
      </x:c>
      <x:c r="J9" s="35" t="str"/>
      <x:c r="K9" s="36" t="str"/>
      <x:c r="L9" s="35" t="str">
        <x:v>업무 의미가 달라 보이므로 설계자 확인 필요</x:v>
      </x:c>
    </x:row>
    <x:row r="10">
      <x:c r="A10" s="35" t="n">
        <x:v>6</x:v>
      </x:c>
      <x:c r="B10" s="35" t="str">
        <x:v>P2</x:v>
      </x:c>
      <x:c r="C10" s="35" t="str">
        <x:v>SYS_ACS_LOG</x:v>
      </x:c>
      <x:c r="D10" s="35" t="str">
        <x:v>SYS_ACS_LOG</x:v>
      </x:c>
      <x:c r="E10" s="35" t="str">
        <x:v>SYS_LOGIN_DT</x:v>
      </x:c>
      <x:c r="F10" s="35" t="str">
        <x:v>SYS_LGN_DT</x:v>
      </x:c>
      <x:c r="G10" s="35" t="str">
        <x:v>이름변경</x:v>
      </x:c>
      <x:c r="H10" s="35" t="str">
        <x:v>SYS_ACS_LOG.SYS_LOGIN_DT 참조를 SYS_ACS_LOG.SYS_LGN_DT로 변경하고 SQL alias/직렬화 명칭 점검</x:v>
      </x:c>
      <x:c r="I10" s="35" t="str">
        <x:v>미착수</x:v>
      </x:c>
      <x:c r="J10" s="35" t="str"/>
      <x:c r="K10" s="36" t="str"/>
      <x:c r="L10" s="35" t="str"/>
    </x:row>
    <x:row r="11">
      <x:c r="A11" s="35" t="n">
        <x:v>7</x:v>
      </x:c>
      <x:c r="B11" s="35" t="str">
        <x:v>P2</x:v>
      </x:c>
      <x:c r="C11" s="35" t="str">
        <x:v>SYS_ACS_LOG</x:v>
      </x:c>
      <x:c r="D11" s="35" t="str">
        <x:v>SYS_ACS_LOG</x:v>
      </x:c>
      <x:c r="E11" s="35" t="str">
        <x:v>SYS_LOGOUT_DT</x:v>
      </x:c>
      <x:c r="F11" s="35" t="str">
        <x:v>SYS_LGT_DT</x:v>
      </x:c>
      <x:c r="G11" s="35" t="str">
        <x:v>이름변경</x:v>
      </x:c>
      <x:c r="H11" s="35" t="str">
        <x:v>SYS_ACS_LOG.SYS_LOGOUT_DT 참조를 SYS_ACS_LOG.SYS_LGT_DT로 변경하고 SQL alias/직렬화 명칭 점검</x:v>
      </x:c>
      <x:c r="I11" s="35" t="str">
        <x:v>미착수</x:v>
      </x:c>
      <x:c r="J11" s="35" t="str"/>
      <x:c r="K11" s="36" t="str"/>
      <x:c r="L11" s="35" t="str"/>
    </x:row>
    <x:row r="12">
      <x:c r="A12" s="35" t="n">
        <x:v>8</x:v>
      </x:c>
      <x:c r="B12" s="35" t="str">
        <x:v>P2</x:v>
      </x:c>
      <x:c r="C12" s="35" t="str">
        <x:v>SYS_ACS_LOG</x:v>
      </x:c>
      <x:c r="D12" s="35" t="str">
        <x:v>SYS_ACS_LOG</x:v>
      </x:c>
      <x:c r="E12" s="35" t="str">
        <x:v>DEV_TYPE</x:v>
      </x:c>
      <x:c r="F12" s="35" t="str">
        <x:v>ISTR_TYPE</x:v>
      </x:c>
      <x:c r="G12" s="35" t="str">
        <x:v>이름+정의 변경</x:v>
      </x:c>
      <x:c r="H12" s="35" t="str">
        <x:v>코드 변경 불필요. 회귀 테스트만 수행</x:v>
      </x:c>
      <x:c r="I12" s="35" t="str">
        <x:v>미착수</x:v>
      </x:c>
      <x:c r="J12" s="35" t="str"/>
      <x:c r="K12" s="36" t="str"/>
      <x:c r="L12" s="35" t="str"/>
    </x:row>
    <x:row r="13">
      <x:c r="A13" s="35" t="n">
        <x:v>9</x:v>
      </x:c>
      <x:c r="B13" s="35" t="str">
        <x:v>P2</x:v>
      </x:c>
      <x:c r="C13" s="35" t="str">
        <x:v>SYS_BBS_MST</x:v>
      </x:c>
      <x:c r="D13" s="35" t="str">
        <x:v>SYS_BBS_MST</x:v>
      </x:c>
      <x:c r="E13" s="35" t="str">
        <x:v>SYS_CRT_DT</x:v>
      </x:c>
      <x:c r="F13" s="35" t="str">
        <x:v>SYS_GEN_DT</x:v>
      </x:c>
      <x:c r="G13" s="35" t="str">
        <x:v>이름변경</x:v>
      </x:c>
      <x:c r="H13" s="35" t="str">
        <x:v>SYS_BBS_MST.SYS_CRT_DT 참조를 SYS_BBS_MST.SYS_GEN_DT로 변경하고 SQL alias/직렬화 명칭 점검</x:v>
      </x:c>
      <x:c r="I13" s="35" t="str">
        <x:v>미착수</x:v>
      </x:c>
      <x:c r="J13" s="35" t="str"/>
      <x:c r="K13" s="36" t="str"/>
      <x:c r="L13" s="35" t="str"/>
    </x:row>
    <x:row r="14">
      <x:c r="A14" s="35" t="n">
        <x:v>10</x:v>
      </x:c>
      <x:c r="B14" s="35" t="str">
        <x:v>P2</x:v>
      </x:c>
      <x:c r="C14" s="35" t="str">
        <x:v>SYS_BBS_MST</x:v>
      </x:c>
      <x:c r="D14" s="35" t="str">
        <x:v>SYS_BBS_MST</x:v>
      </x:c>
      <x:c r="E14" s="35" t="str">
        <x:v>SYS_UPD_USR_ID</x:v>
      </x:c>
      <x:c r="F14" s="35" t="str">
        <x:v>SYS_MDFR_ID</x:v>
      </x:c>
      <x:c r="G14" s="35" t="str">
        <x:v>이름+정의 변경</x:v>
      </x:c>
      <x:c r="H14" s="35" t="str">
        <x:v>코드 변경 불필요. 회귀 테스트만 수행</x:v>
      </x:c>
      <x:c r="I14" s="35" t="str">
        <x:v>미착수</x:v>
      </x:c>
      <x:c r="J14" s="35" t="str"/>
      <x:c r="K14" s="36" t="str"/>
      <x:c r="L14" s="35" t="str"/>
    </x:row>
    <x:row r="15">
      <x:c r="A15" s="35" t="n">
        <x:v>11</x:v>
      </x:c>
      <x:c r="B15" s="35" t="str">
        <x:v>P2</x:v>
      </x:c>
      <x:c r="C15" s="35" t="str">
        <x:v>SYS_BBS_MST</x:v>
      </x:c>
      <x:c r="D15" s="35" t="str">
        <x:v>SYS_BBS_MST</x:v>
      </x:c>
      <x:c r="E15" s="35" t="str">
        <x:v>SYS_UPD_DT</x:v>
      </x:c>
      <x:c r="F15" s="35" t="str">
        <x:v>SYS_MDFCN_DT</x:v>
      </x:c>
      <x:c r="G15" s="35" t="str">
        <x:v>이름변경</x:v>
      </x:c>
      <x:c r="H15" s="35" t="str">
        <x:v>SYS_BBS_MST.SYS_UPD_DT 참조를 SYS_BBS_MST.SYS_MDFCN_DT로 변경하고 SQL alias/직렬화 명칭 점검</x:v>
      </x:c>
      <x:c r="I15" s="35" t="str">
        <x:v>미착수</x:v>
      </x:c>
      <x:c r="J15" s="35" t="str"/>
      <x:c r="K15" s="36" t="str"/>
      <x:c r="L15" s="35" t="str"/>
    </x:row>
    <x:row r="16">
      <x:c r="A16" s="35" t="n">
        <x:v>12</x:v>
      </x:c>
      <x:c r="B16" s="35" t="str">
        <x:v>P2</x:v>
      </x:c>
      <x:c r="C16" s="35" t="str">
        <x:v>SYS_BBS</x:v>
      </x:c>
      <x:c r="D16" s="35" t="str">
        <x:v>SYS_BBS</x:v>
      </x:c>
      <x:c r="E16" s="35" t="str">
        <x:v>BBS_MANAGER</x:v>
      </x:c>
      <x:c r="F16" s="35" t="str">
        <x:v>BBS_MNGR</x:v>
      </x:c>
      <x:c r="G16" s="35" t="str">
        <x:v>이름변경</x:v>
      </x:c>
      <x:c r="H16" s="35" t="str">
        <x:v>SYS_BBS.BBS_MANAGER 참조를 SYS_BBS.BBS_MNGR로 변경하고 SQL alias/직렬화 명칭 점검</x:v>
      </x:c>
      <x:c r="I16" s="35" t="str">
        <x:v>미착수</x:v>
      </x:c>
      <x:c r="J16" s="35" t="str"/>
      <x:c r="K16" s="36" t="str"/>
      <x:c r="L16" s="35" t="str"/>
    </x:row>
    <x:row r="17">
      <x:c r="A17" s="35" t="n">
        <x:v>13</x:v>
      </x:c>
      <x:c r="B17" s="35" t="str">
        <x:v>P2</x:v>
      </x:c>
      <x:c r="C17" s="35" t="str">
        <x:v>SYS_BBS</x:v>
      </x:c>
      <x:c r="D17" s="35" t="str">
        <x:v>SYS_BBS</x:v>
      </x:c>
      <x:c r="E17" s="35" t="str">
        <x:v>FILE_YN</x:v>
      </x:c>
      <x:c r="F17" s="35" t="str">
        <x:v>FILE_ATCH_YN</x:v>
      </x:c>
      <x:c r="G17" s="35" t="str">
        <x:v>이름변경</x:v>
      </x:c>
      <x:c r="H17" s="35" t="str">
        <x:v>SYS_BBS.FILE_YN 참조를 SYS_BBS.FILE_ATCH_YN로 변경하고 SQL alias/직렬화 명칭 점검</x:v>
      </x:c>
      <x:c r="I17" s="35" t="str">
        <x:v>미착수</x:v>
      </x:c>
      <x:c r="J17" s="35" t="str"/>
      <x:c r="K17" s="36" t="str"/>
      <x:c r="L17" s="35" t="str"/>
    </x:row>
    <x:row r="18">
      <x:c r="A18" s="35" t="n">
        <x:v>14</x:v>
      </x:c>
      <x:c r="B18" s="35" t="str">
        <x:v>P2</x:v>
      </x:c>
      <x:c r="C18" s="35" t="str">
        <x:v>SYS_BBS</x:v>
      </x:c>
      <x:c r="D18" s="35" t="str">
        <x:v>SYS_BBS</x:v>
      </x:c>
      <x:c r="E18" s="35" t="str">
        <x:v>REPLY_YN</x:v>
      </x:c>
      <x:c r="F18" s="35" t="str">
        <x:v>CMNT_YN</x:v>
      </x:c>
      <x:c r="G18" s="35" t="str">
        <x:v>이름변경</x:v>
      </x:c>
      <x:c r="H18" s="35" t="str">
        <x:v>SYS_BBS.REPLY_YN 참조를 SYS_BBS.CMNT_YN로 변경하고 SQL alias/직렬화 명칭 점검</x:v>
      </x:c>
      <x:c r="I18" s="35" t="str">
        <x:v>미착수</x:v>
      </x:c>
      <x:c r="J18" s="35" t="str"/>
      <x:c r="K18" s="36" t="str"/>
      <x:c r="L18" s="35" t="str"/>
    </x:row>
    <x:row r="19">
      <x:c r="A19" s="35" t="n">
        <x:v>15</x:v>
      </x:c>
      <x:c r="B19" s="35" t="str">
        <x:v>P2</x:v>
      </x:c>
      <x:c r="C19" s="35" t="str">
        <x:v>SYS_BBS</x:v>
      </x:c>
      <x:c r="D19" s="35" t="str">
        <x:v>SYS_BBS</x:v>
      </x:c>
      <x:c r="E19" s="35" t="str">
        <x:v>SYS_CRT_DT</x:v>
      </x:c>
      <x:c r="F19" s="35" t="str">
        <x:v>SYS_GEN_DT</x:v>
      </x:c>
      <x:c r="G19" s="35" t="str">
        <x:v>이름변경</x:v>
      </x:c>
      <x:c r="H19" s="35" t="str">
        <x:v>SYS_BBS.SYS_CRT_DT 참조를 SYS_BBS.SYS_GEN_DT로 변경하고 SQL alias/직렬화 명칭 점검</x:v>
      </x:c>
      <x:c r="I19" s="35" t="str">
        <x:v>미착수</x:v>
      </x:c>
      <x:c r="J19" s="35" t="str"/>
      <x:c r="K19" s="36" t="str"/>
      <x:c r="L19" s="35" t="str"/>
    </x:row>
    <x:row r="20">
      <x:c r="A20" s="35" t="n">
        <x:v>16</x:v>
      </x:c>
      <x:c r="B20" s="35" t="str">
        <x:v>P2</x:v>
      </x:c>
      <x:c r="C20" s="35" t="str">
        <x:v>SYS_BBS</x:v>
      </x:c>
      <x:c r="D20" s="35" t="str">
        <x:v>SYS_BBS</x:v>
      </x:c>
      <x:c r="E20" s="35" t="str">
        <x:v>SYS_UPD_USR_ID</x:v>
      </x:c>
      <x:c r="F20" s="35" t="str">
        <x:v>SYS_MDFR_ID</x:v>
      </x:c>
      <x:c r="G20" s="35" t="str">
        <x:v>이름+정의 변경</x:v>
      </x:c>
      <x:c r="H20" s="35" t="str">
        <x:v>코드 변경 불필요. 회귀 테스트만 수행</x:v>
      </x:c>
      <x:c r="I20" s="35" t="str">
        <x:v>미착수</x:v>
      </x:c>
      <x:c r="J20" s="35" t="str"/>
      <x:c r="K20" s="36" t="str"/>
      <x:c r="L20" s="35" t="str"/>
    </x:row>
    <x:row r="21">
      <x:c r="A21" s="35" t="n">
        <x:v>17</x:v>
      </x:c>
      <x:c r="B21" s="35" t="str">
        <x:v>P2</x:v>
      </x:c>
      <x:c r="C21" s="35" t="str">
        <x:v>SYS_BBS</x:v>
      </x:c>
      <x:c r="D21" s="35" t="str">
        <x:v>SYS_BBS</x:v>
      </x:c>
      <x:c r="E21" s="35" t="str">
        <x:v>SYS_UPD_DT</x:v>
      </x:c>
      <x:c r="F21" s="35" t="str">
        <x:v>SYS_MDFCN_DT</x:v>
      </x:c>
      <x:c r="G21" s="35" t="str">
        <x:v>이름변경</x:v>
      </x:c>
      <x:c r="H21" s="35" t="str">
        <x:v>SYS_BBS.SYS_UPD_DT 참조를 SYS_BBS.SYS_MDFCN_DT로 변경하고 SQL alias/직렬화 명칭 점검</x:v>
      </x:c>
      <x:c r="I21" s="35" t="str">
        <x:v>미착수</x:v>
      </x:c>
      <x:c r="J21" s="35" t="str"/>
      <x:c r="K21" s="36" t="str"/>
      <x:c r="L21" s="35" t="str"/>
    </x:row>
    <x:row r="22">
      <x:c r="A22" s="35" t="n">
        <x:v>18</x:v>
      </x:c>
      <x:c r="B22" s="35" t="str">
        <x:v>P2</x:v>
      </x:c>
      <x:c r="C22" s="35" t="str">
        <x:v>SYS_BBS</x:v>
      </x:c>
      <x:c r="D22" s="35" t="str">
        <x:v>SYS_BBS</x:v>
      </x:c>
      <x:c r="E22" s="35" t="str">
        <x:v>P_MENU_CD</x:v>
      </x:c>
      <x:c r="F22" s="35" t="str">
        <x:v>UP_MENU_CD</x:v>
      </x:c>
      <x:c r="G22" s="35" t="str">
        <x:v>이름변경</x:v>
      </x:c>
      <x:c r="H22" s="35" t="str">
        <x:v>SYS_BBS.P_MENU_CD 참조를 SYS_BBS.UP_MENU_CD로 변경하고 SQL alias/직렬화 명칭 점검</x:v>
      </x:c>
      <x:c r="I22" s="35" t="str">
        <x:v>미착수</x:v>
      </x:c>
      <x:c r="J22" s="35" t="str"/>
      <x:c r="K22" s="36" t="str"/>
      <x:c r="L22" s="35" t="str"/>
    </x:row>
    <x:row r="23">
      <x:c r="A23" s="35" t="n">
        <x:v>19</x:v>
      </x:c>
      <x:c r="B23" s="35" t="str">
        <x:v>P2</x:v>
      </x:c>
      <x:c r="C23" s="35" t="str">
        <x:v>SYS_BBS_BRD</x:v>
      </x:c>
      <x:c r="D23" s="35" t="str">
        <x:v>SYS_BBS_PST</x:v>
      </x:c>
      <x:c r="E23" s="35" t="str">
        <x:v>BOARD_ID</x:v>
      </x:c>
      <x:c r="F23" s="35" t="str">
        <x:v>PST_ID</x:v>
      </x:c>
      <x:c r="G23" s="35" t="str">
        <x:v>이름변경</x:v>
      </x:c>
      <x:c r="H23" s="35" t="str">
        <x:v>SYS_BBS_BRD.BOARD_ID 참조를 SYS_BBS_PST.PST_ID로 변경하고 SQL alias/직렬화 명칭 점검; 테이블 참조 SYS_BBS_BRD → SYS_BBS_PST 변경</x:v>
      </x:c>
      <x:c r="I23" s="35" t="str">
        <x:v>미착수</x:v>
      </x:c>
      <x:c r="J23" s="35" t="str"/>
      <x:c r="K23" s="36" t="str"/>
      <x:c r="L23" s="35" t="str"/>
    </x:row>
    <x:row r="24">
      <x:c r="A24" s="35" t="n">
        <x:v>20</x:v>
      </x:c>
      <x:c r="B24" s="35" t="str">
        <x:v>P2</x:v>
      </x:c>
      <x:c r="C24" s="35" t="str">
        <x:v>SYS_BBS_BRD</x:v>
      </x:c>
      <x:c r="D24" s="35" t="str">
        <x:v>SYS_BBS_PST</x:v>
      </x:c>
      <x:c r="E24" s="35" t="str">
        <x:v>TITLE</x:v>
      </x:c>
      <x:c r="F24" s="35" t="str">
        <x:v>TTL</x:v>
      </x:c>
      <x:c r="G24" s="35" t="str">
        <x:v>이름변경</x:v>
      </x:c>
      <x:c r="H24" s="35" t="str">
        <x:v>SYS_BBS_BRD.TITLE 참조를 SYS_BBS_PST.TTL로 변경하고 SQL alias/직렬화 명칭 점검; 테이블 참조 SYS_BBS_BRD → SYS_BBS_PST 변경</x:v>
      </x:c>
      <x:c r="I24" s="35" t="str">
        <x:v>미착수</x:v>
      </x:c>
      <x:c r="J24" s="35" t="str"/>
      <x:c r="K24" s="36" t="str"/>
      <x:c r="L24" s="35" t="str"/>
    </x:row>
    <x:row r="25">
      <x:c r="A25" s="35" t="n">
        <x:v>21</x:v>
      </x:c>
      <x:c r="B25" s="35" t="str">
        <x:v>P2</x:v>
      </x:c>
      <x:c r="C25" s="35" t="str">
        <x:v>SYS_BBS_BRD</x:v>
      </x:c>
      <x:c r="D25" s="35" t="str">
        <x:v>SYS_BBS_PST</x:v>
      </x:c>
      <x:c r="E25" s="35" t="str">
        <x:v>CONTENT</x:v>
      </x:c>
      <x:c r="F25" s="35" t="str">
        <x:v>CN</x:v>
      </x:c>
      <x:c r="G25" s="35" t="str">
        <x:v>이름변경</x:v>
      </x:c>
      <x:c r="H25" s="35" t="str">
        <x:v>SYS_BBS_BRD.CONTENT 참조를 SYS_BBS_PST.CN로 변경하고 SQL alias/직렬화 명칭 점검; 테이블 참조 SYS_BBS_BRD → SYS_BBS_PST 변경</x:v>
      </x:c>
      <x:c r="I25" s="35" t="str">
        <x:v>미착수</x:v>
      </x:c>
      <x:c r="J25" s="35" t="str"/>
      <x:c r="K25" s="36" t="str"/>
      <x:c r="L25" s="35" t="str"/>
    </x:row>
    <x:row r="26">
      <x:c r="A26" s="35" t="n">
        <x:v>22</x:v>
      </x:c>
      <x:c r="B26" s="35" t="str">
        <x:v>P2</x:v>
      </x:c>
      <x:c r="C26" s="35" t="str">
        <x:v>SYS_BBS_BRD</x:v>
      </x:c>
      <x:c r="D26" s="35" t="str">
        <x:v>SYS_BBS_PST</x:v>
      </x:c>
      <x:c r="E26" s="35" t="str">
        <x:v>HIT_CNT</x:v>
      </x:c>
      <x:c r="F26" s="35" t="str">
        <x:v>INQ_CNT</x:v>
      </x:c>
      <x:c r="G26" s="35" t="str">
        <x:v>이름변경</x:v>
      </x:c>
      <x:c r="H26" s="35" t="str">
        <x:v>SYS_BBS_BRD.HIT_CNT 참조를 SYS_BBS_PST.INQ_CNT로 변경하고 SQL alias/직렬화 명칭 점검; 테이블 참조 SYS_BBS_BRD → SYS_BBS_PST 변경</x:v>
      </x:c>
      <x:c r="I26" s="35" t="str">
        <x:v>미착수</x:v>
      </x:c>
      <x:c r="J26" s="35" t="str"/>
      <x:c r="K26" s="36" t="str"/>
      <x:c r="L26" s="35" t="str"/>
    </x:row>
    <x:row r="27">
      <x:c r="A27" s="35" t="n">
        <x:v>23</x:v>
      </x:c>
      <x:c r="B27" s="35" t="str">
        <x:v>P2</x:v>
      </x:c>
      <x:c r="C27" s="35" t="str">
        <x:v>SYS_BBS_BRD</x:v>
      </x:c>
      <x:c r="D27" s="35" t="str">
        <x:v>SYS_BBS_PST</x:v>
      </x:c>
      <x:c r="E27" s="35" t="str">
        <x:v>THMBNL</x:v>
      </x:c>
      <x:c r="F27" s="35" t="str">
        <x:v>THMB_PATH</x:v>
      </x:c>
      <x:c r="G27" s="35" t="str">
        <x:v>이름변경</x:v>
      </x:c>
      <x:c r="H27" s="35" t="str">
        <x:v>SYS_BBS_BRD.THMBNL 참조를 SYS_BBS_PST.THMB_PATH로 변경하고 SQL alias/직렬화 명칭 점검; 테이블 참조 SYS_BBS_BRD → SYS_BBS_PST 변경</x:v>
      </x:c>
      <x:c r="I27" s="35" t="str">
        <x:v>미착수</x:v>
      </x:c>
      <x:c r="J27" s="35" t="str"/>
      <x:c r="K27" s="36" t="str"/>
      <x:c r="L27" s="35" t="str"/>
    </x:row>
    <x:row r="28">
      <x:c r="A28" s="35" t="n">
        <x:v>24</x:v>
      </x:c>
      <x:c r="B28" s="35" t="str">
        <x:v>P2</x:v>
      </x:c>
      <x:c r="C28" s="35" t="str">
        <x:v>SYS_BBS_BRD</x:v>
      </x:c>
      <x:c r="D28" s="35" t="str">
        <x:v>SYS_BBS_PST</x:v>
      </x:c>
      <x:c r="E28" s="35" t="str">
        <x:v>SYS_CRT_DT</x:v>
      </x:c>
      <x:c r="F28" s="35" t="str">
        <x:v>SYS_GEN_DT</x:v>
      </x:c>
      <x:c r="G28" s="35" t="str">
        <x:v>이름변경</x:v>
      </x:c>
      <x:c r="H28" s="35" t="str">
        <x:v>SYS_BBS_BRD.SYS_CRT_DT 참조를 SYS_BBS_PST.SYS_GEN_DT로 변경하고 SQL alias/직렬화 명칭 점검; 테이블 참조 SYS_BBS_BRD → SYS_BBS_PST 변경</x:v>
      </x:c>
      <x:c r="I28" s="35" t="str">
        <x:v>미착수</x:v>
      </x:c>
      <x:c r="J28" s="35" t="str"/>
      <x:c r="K28" s="36" t="str"/>
      <x:c r="L28" s="35" t="str"/>
    </x:row>
    <x:row r="29">
      <x:c r="A29" s="35" t="n">
        <x:v>25</x:v>
      </x:c>
      <x:c r="B29" s="35" t="str">
        <x:v>P2</x:v>
      </x:c>
      <x:c r="C29" s="35" t="str">
        <x:v>SYS_BBS_BRD</x:v>
      </x:c>
      <x:c r="D29" s="35" t="str">
        <x:v>SYS_BBS_PST</x:v>
      </x:c>
      <x:c r="E29" s="35" t="str">
        <x:v>SYS_UPD_USR_ID</x:v>
      </x:c>
      <x:c r="F29" s="35" t="str">
        <x:v>SYS_MDFR_ID</x:v>
      </x:c>
      <x:c r="G29" s="35" t="str">
        <x:v>이름+정의 변경</x:v>
      </x:c>
      <x:c r="H29" s="35" t="str">
        <x:v>코드 변경 불필요. 회귀 테스트만 수행; 테이블 참조 SYS_BBS_BRD → SYS_BBS_PST 변경</x:v>
      </x:c>
      <x:c r="I29" s="35" t="str">
        <x:v>미착수</x:v>
      </x:c>
      <x:c r="J29" s="35" t="str"/>
      <x:c r="K29" s="36" t="str"/>
      <x:c r="L29" s="35" t="str"/>
    </x:row>
    <x:row r="30">
      <x:c r="A30" s="35" t="n">
        <x:v>26</x:v>
      </x:c>
      <x:c r="B30" s="35" t="str">
        <x:v>P2</x:v>
      </x:c>
      <x:c r="C30" s="35" t="str">
        <x:v>SYS_BBS_BRD</x:v>
      </x:c>
      <x:c r="D30" s="35" t="str">
        <x:v>SYS_BBS_PST</x:v>
      </x:c>
      <x:c r="E30" s="35" t="str">
        <x:v>SYS_UPD_DT</x:v>
      </x:c>
      <x:c r="F30" s="35" t="str">
        <x:v>SYS_MDFCN_DT</x:v>
      </x:c>
      <x:c r="G30" s="35" t="str">
        <x:v>이름변경</x:v>
      </x:c>
      <x:c r="H30" s="35" t="str">
        <x:v>SYS_BBS_BRD.SYS_UPD_DT 참조를 SYS_BBS_PST.SYS_MDFCN_DT로 변경하고 SQL alias/직렬화 명칭 점검; 테이블 참조 SYS_BBS_BRD → SYS_BBS_PST 변경</x:v>
      </x:c>
      <x:c r="I30" s="35" t="str">
        <x:v>미착수</x:v>
      </x:c>
      <x:c r="J30" s="35" t="str"/>
      <x:c r="K30" s="36" t="str"/>
      <x:c r="L30" s="35" t="str"/>
    </x:row>
    <x:row r="31">
      <x:c r="A31" s="35" t="n">
        <x:v>27</x:v>
      </x:c>
      <x:c r="B31" s="35" t="str">
        <x:v>P2</x:v>
      </x:c>
      <x:c r="C31" s="35" t="str">
        <x:v>SYS_BBS_RPLY</x:v>
      </x:c>
      <x:c r="D31" s="35" t="str">
        <x:v>SYS_BBS_CMNT</x:v>
      </x:c>
      <x:c r="E31" s="35" t="str">
        <x:v>REPLY_ID</x:v>
      </x:c>
      <x:c r="F31" s="35" t="str">
        <x:v>CMNT_ID</x:v>
      </x:c>
      <x:c r="G31" s="35" t="str">
        <x:v>이름변경</x:v>
      </x:c>
      <x:c r="H31" s="35" t="str">
        <x:v>SYS_BBS_RPLY.REPLY_ID 참조를 SYS_BBS_CMNT.CMNT_ID로 변경하고 SQL alias/직렬화 명칭 점검; 테이블 참조 SYS_BBS_RPLY → SYS_BBS_CMNT 변경</x:v>
      </x:c>
      <x:c r="I31" s="35" t="str">
        <x:v>미착수</x:v>
      </x:c>
      <x:c r="J31" s="35" t="str"/>
      <x:c r="K31" s="36" t="str"/>
      <x:c r="L31" s="35" t="str"/>
    </x:row>
    <x:row r="32">
      <x:c r="A32" s="35" t="n">
        <x:v>28</x:v>
      </x:c>
      <x:c r="B32" s="35" t="str">
        <x:v>P2</x:v>
      </x:c>
      <x:c r="C32" s="35" t="str">
        <x:v>SYS_BBS_RPLY</x:v>
      </x:c>
      <x:c r="D32" s="35" t="str">
        <x:v>SYS_BBS_CMNT</x:v>
      </x:c>
      <x:c r="E32" s="35" t="str">
        <x:v>BOARD_ID</x:v>
      </x:c>
      <x:c r="F32" s="35" t="str">
        <x:v>PST_ID</x:v>
      </x:c>
      <x:c r="G32" s="35" t="str">
        <x:v>이름변경</x:v>
      </x:c>
      <x:c r="H32" s="35" t="str">
        <x:v>SYS_BBS_RPLY.BOARD_ID 참조를 SYS_BBS_CMNT.PST_ID로 변경하고 SQL alias/직렬화 명칭 점검; 테이블 참조 SYS_BBS_RPLY → SYS_BBS_CMNT 변경</x:v>
      </x:c>
      <x:c r="I32" s="35" t="str">
        <x:v>미착수</x:v>
      </x:c>
      <x:c r="J32" s="35" t="str"/>
      <x:c r="K32" s="36" t="str"/>
      <x:c r="L32" s="35" t="str"/>
    </x:row>
    <x:row r="33">
      <x:c r="A33" s="35" t="n">
        <x:v>29</x:v>
      </x:c>
      <x:c r="B33" s="35" t="str">
        <x:v>P2</x:v>
      </x:c>
      <x:c r="C33" s="35" t="str">
        <x:v>SYS_BBS_RPLY</x:v>
      </x:c>
      <x:c r="D33" s="35" t="str">
        <x:v>SYS_BBS_CMNT</x:v>
      </x:c>
      <x:c r="E33" s="35" t="str">
        <x:v>PARENT_REPLY_ID</x:v>
      </x:c>
      <x:c r="F33" s="35" t="str">
        <x:v>PRNT_CMNT_ID</x:v>
      </x:c>
      <x:c r="G33" s="35" t="str">
        <x:v>이름변경</x:v>
      </x:c>
      <x:c r="H33" s="35" t="str">
        <x:v>SYS_BBS_RPLY.PARENT_REPLY_ID 참조를 SYS_BBS_CMNT.PRNT_CMNT_ID로 변경하고 SQL alias/직렬화 명칭 점검; 테이블 참조 SYS_BBS_RPLY → SYS_BBS_CMNT 변경</x:v>
      </x:c>
      <x:c r="I33" s="35" t="str">
        <x:v>미착수</x:v>
      </x:c>
      <x:c r="J33" s="35" t="str"/>
      <x:c r="K33" s="36" t="str"/>
      <x:c r="L33" s="35" t="str"/>
    </x:row>
    <x:row r="34">
      <x:c r="A34" s="35" t="n">
        <x:v>30</x:v>
      </x:c>
      <x:c r="B34" s="35" t="str">
        <x:v>P2</x:v>
      </x:c>
      <x:c r="C34" s="35" t="str">
        <x:v>SYS_BBS_RPLY</x:v>
      </x:c>
      <x:c r="D34" s="35" t="str">
        <x:v>SYS_BBS_CMNT</x:v>
      </x:c>
      <x:c r="E34" s="35" t="str">
        <x:v>CONTENT</x:v>
      </x:c>
      <x:c r="F34" s="35" t="str">
        <x:v>CN</x:v>
      </x:c>
      <x:c r="G34" s="35" t="str">
        <x:v>이름변경</x:v>
      </x:c>
      <x:c r="H34" s="35" t="str">
        <x:v>SYS_BBS_RPLY.CONTENT 참조를 SYS_BBS_CMNT.CN로 변경하고 SQL alias/직렬화 명칭 점검; 테이블 참조 SYS_BBS_RPLY → SYS_BBS_CMNT 변경</x:v>
      </x:c>
      <x:c r="I34" s="35" t="str">
        <x:v>미착수</x:v>
      </x:c>
      <x:c r="J34" s="35" t="str"/>
      <x:c r="K34" s="36" t="str"/>
      <x:c r="L34" s="35" t="str"/>
    </x:row>
    <x:row r="35">
      <x:c r="A35" s="35" t="n">
        <x:v>31</x:v>
      </x:c>
      <x:c r="B35" s="35" t="str">
        <x:v>P2</x:v>
      </x:c>
      <x:c r="C35" s="35" t="str">
        <x:v>SYS_BBS_RPLY</x:v>
      </x:c>
      <x:c r="D35" s="35" t="str">
        <x:v>SYS_BBS_CMNT</x:v>
      </x:c>
      <x:c r="E35" s="35" t="str">
        <x:v>SYS_CRT_DT</x:v>
      </x:c>
      <x:c r="F35" s="35" t="str">
        <x:v>SYS_GEN_DT</x:v>
      </x:c>
      <x:c r="G35" s="35" t="str">
        <x:v>이름변경</x:v>
      </x:c>
      <x:c r="H35" s="35" t="str">
        <x:v>SYS_BBS_RPLY.SYS_CRT_DT 참조를 SYS_BBS_CMNT.SYS_GEN_DT로 변경하고 SQL alias/직렬화 명칭 점검; 테이블 참조 SYS_BBS_RPLY → SYS_BBS_CMNT 변경</x:v>
      </x:c>
      <x:c r="I35" s="35" t="str">
        <x:v>미착수</x:v>
      </x:c>
      <x:c r="J35" s="35" t="str"/>
      <x:c r="K35" s="36" t="str"/>
      <x:c r="L35" s="35" t="str"/>
    </x:row>
    <x:row r="36">
      <x:c r="A36" s="35" t="n">
        <x:v>32</x:v>
      </x:c>
      <x:c r="B36" s="35" t="str">
        <x:v>P2</x:v>
      </x:c>
      <x:c r="C36" s="35" t="str">
        <x:v>SYS_BBS_RPLY</x:v>
      </x:c>
      <x:c r="D36" s="35" t="str">
        <x:v>SYS_BBS_CMNT</x:v>
      </x:c>
      <x:c r="E36" s="35" t="str">
        <x:v>SYS_UPD_USR_ID</x:v>
      </x:c>
      <x:c r="F36" s="35" t="str">
        <x:v>SYS_MDFR_ID</x:v>
      </x:c>
      <x:c r="G36" s="35" t="str">
        <x:v>이름+정의 변경</x:v>
      </x:c>
      <x:c r="H36" s="35" t="str">
        <x:v>코드 변경 불필요. 회귀 테스트만 수행; 테이블 참조 SYS_BBS_RPLY → SYS_BBS_CMNT 변경</x:v>
      </x:c>
      <x:c r="I36" s="35" t="str">
        <x:v>미착수</x:v>
      </x:c>
      <x:c r="J36" s="35" t="str"/>
      <x:c r="K36" s="36" t="str"/>
      <x:c r="L36" s="35" t="str"/>
    </x:row>
    <x:row r="37">
      <x:c r="A37" s="35" t="n">
        <x:v>33</x:v>
      </x:c>
      <x:c r="B37" s="35" t="str">
        <x:v>P2</x:v>
      </x:c>
      <x:c r="C37" s="35" t="str">
        <x:v>SYS_BBS_RPLY</x:v>
      </x:c>
      <x:c r="D37" s="35" t="str">
        <x:v>SYS_BBS_CMNT</x:v>
      </x:c>
      <x:c r="E37" s="35" t="str">
        <x:v>SYS_UPD_DT</x:v>
      </x:c>
      <x:c r="F37" s="35" t="str">
        <x:v>SYS_MDFCN_DT</x:v>
      </x:c>
      <x:c r="G37" s="35" t="str">
        <x:v>이름변경</x:v>
      </x:c>
      <x:c r="H37" s="35" t="str">
        <x:v>SYS_BBS_RPLY.SYS_UPD_DT 참조를 SYS_BBS_CMNT.SYS_MDFCN_DT로 변경하고 SQL alias/직렬화 명칭 점검; 테이블 참조 SYS_BBS_RPLY → SYS_BBS_CMNT 변경</x:v>
      </x:c>
      <x:c r="I37" s="35" t="str">
        <x:v>미착수</x:v>
      </x:c>
      <x:c r="J37" s="35" t="str"/>
      <x:c r="K37" s="36" t="str"/>
      <x:c r="L37" s="35" t="str"/>
    </x:row>
    <x:row r="38">
      <x:c r="A38" s="35" t="n">
        <x:v>34</x:v>
      </x:c>
      <x:c r="B38" s="35" t="str">
        <x:v>P2</x:v>
      </x:c>
      <x:c r="C38" s="35" t="str">
        <x:v>SYS_CD_GRP</x:v>
      </x:c>
      <x:c r="D38" s="35" t="str">
        <x:v>SYS_CD_GRP</x:v>
      </x:c>
      <x:c r="E38" s="35" t="str">
        <x:v>SYS_CRT_DT</x:v>
      </x:c>
      <x:c r="F38" s="35" t="str">
        <x:v>SYS_GEN_DT</x:v>
      </x:c>
      <x:c r="G38" s="35" t="str">
        <x:v>이름변경</x:v>
      </x:c>
      <x:c r="H38" s="35" t="str">
        <x:v>SYS_CD_GRP.SYS_CRT_DT 참조를 SYS_CD_GRP.SYS_GEN_DT로 변경하고 SQL alias/직렬화 명칭 점검</x:v>
      </x:c>
      <x:c r="I38" s="35" t="str">
        <x:v>미착수</x:v>
      </x:c>
      <x:c r="J38" s="35" t="str"/>
      <x:c r="K38" s="36" t="str"/>
      <x:c r="L38" s="35" t="str"/>
    </x:row>
    <x:row r="39">
      <x:c r="A39" s="35" t="n">
        <x:v>35</x:v>
      </x:c>
      <x:c r="B39" s="35" t="str">
        <x:v>P2</x:v>
      </x:c>
      <x:c r="C39" s="35" t="str">
        <x:v>SYS_CD_GRP</x:v>
      </x:c>
      <x:c r="D39" s="35" t="str">
        <x:v>SYS_CD_GRP</x:v>
      </x:c>
      <x:c r="E39" s="35" t="str">
        <x:v>SYS_UPD_DT</x:v>
      </x:c>
      <x:c r="F39" s="35" t="str">
        <x:v>SYS_MDFCN_DT</x:v>
      </x:c>
      <x:c r="G39" s="35" t="str">
        <x:v>이름변경</x:v>
      </x:c>
      <x:c r="H39" s="35" t="str">
        <x:v>SYS_CD_GRP.SYS_UPD_DT 참조를 SYS_CD_GRP.SYS_MDFCN_DT로 변경하고 SQL alias/직렬화 명칭 점검</x:v>
      </x:c>
      <x:c r="I39" s="35" t="str">
        <x:v>미착수</x:v>
      </x:c>
      <x:c r="J39" s="35" t="str"/>
      <x:c r="K39" s="36" t="str"/>
      <x:c r="L39" s="35" t="str"/>
    </x:row>
    <x:row r="40">
      <x:c r="A40" s="35" t="n">
        <x:v>36</x:v>
      </x:c>
      <x:c r="B40" s="35" t="str">
        <x:v>P2</x:v>
      </x:c>
      <x:c r="C40" s="35" t="str">
        <x:v>SYS_CD_GRP</x:v>
      </x:c>
      <x:c r="D40" s="35" t="str">
        <x:v>SYS_CD_GRP</x:v>
      </x:c>
      <x:c r="E40" s="35" t="str">
        <x:v>SYS_UPD_USR_ID</x:v>
      </x:c>
      <x:c r="F40" s="35" t="str">
        <x:v>SYS_MDFR_ID</x:v>
      </x:c>
      <x:c r="G40" s="35" t="str">
        <x:v>이름+정의 변경</x:v>
      </x:c>
      <x:c r="H40" s="35" t="str">
        <x:v>코드 변경 불필요. 회귀 테스트만 수행</x:v>
      </x:c>
      <x:c r="I40" s="35" t="str">
        <x:v>미착수</x:v>
      </x:c>
      <x:c r="J40" s="35" t="str"/>
      <x:c r="K40" s="36" t="str"/>
      <x:c r="L40" s="35" t="str"/>
    </x:row>
    <x:row r="41">
      <x:c r="A41" s="35" t="n">
        <x:v>37</x:v>
      </x:c>
      <x:c r="B41" s="35" t="str">
        <x:v>P1</x:v>
      </x:c>
      <x:c r="C41" s="35" t="str">
        <x:v>SYS_CD_GRP</x:v>
      </x:c>
      <x:c r="D41" s="35" t="str">
        <x:v>SYS_CD_GRP</x:v>
      </x:c>
      <x:c r="E41" s="35" t="str">
        <x:v>USE_YN</x:v>
      </x:c>
      <x:c r="F41" s="35" t="str">
        <x:v>USE_YN</x:v>
      </x:c>
      <x:c r="G41" s="35" t="str">
        <x:v>정의 변경</x:v>
      </x:c>
      <x:c r="H41" s="35" t="str">
        <x:v>SYS_CD_GRP.USE_YN의 타입·NULL·기본값·키 정의에 맞춰 스키마와 검증 로직 수정</x:v>
      </x:c>
      <x:c r="I41" s="35" t="str">
        <x:v>미착수</x:v>
      </x:c>
      <x:c r="J41" s="35" t="str"/>
      <x:c r="K41" s="36" t="str"/>
      <x:c r="L41" s="35" t="str"/>
    </x:row>
    <x:row r="42">
      <x:c r="A42" s="35" t="n">
        <x:v>38</x:v>
      </x:c>
      <x:c r="B42" s="35" t="str">
        <x:v>P2</x:v>
      </x:c>
      <x:c r="C42" s="35" t="str">
        <x:v>SYS_CD_GRP</x:v>
      </x:c>
      <x:c r="D42" s="35" t="str">
        <x:v>SYS_CD_GRP</x:v>
      </x:c>
      <x:c r="E42" s="35" t="str">
        <x:v>COMMENT</x:v>
      </x:c>
      <x:c r="F42" s="35" t="str">
        <x:v>EXPLN</x:v>
      </x:c>
      <x:c r="G42" s="35" t="str">
        <x:v>이름변경</x:v>
      </x:c>
      <x:c r="H42" s="35" t="str">
        <x:v>SYS_CD_GRP.COMMENT 참조를 SYS_CD_GRP.EXPLN로 변경하고 SQL alias/직렬화 명칭 점검</x:v>
      </x:c>
      <x:c r="I42" s="35" t="str">
        <x:v>미착수</x:v>
      </x:c>
      <x:c r="J42" s="35" t="str"/>
      <x:c r="K42" s="36" t="str"/>
      <x:c r="L42" s="35" t="str"/>
    </x:row>
    <x:row r="43">
      <x:c r="A43" s="35" t="n">
        <x:v>39</x:v>
      </x:c>
      <x:c r="B43" s="35" t="str">
        <x:v>P2</x:v>
      </x:c>
      <x:c r="C43" s="35" t="str">
        <x:v>SYS_CD_GRP</x:v>
      </x:c>
      <x:c r="D43" s="35" t="str">
        <x:v>SYS_CD_GRP</x:v>
      </x:c>
      <x:c r="E43" s="35" t="str"/>
      <x:c r="F43" s="35" t="str">
        <x:v>UP_GRP_ID</x:v>
      </x:c>
      <x:c r="G43" s="35" t="str">
        <x:v>컬럼 추가</x:v>
      </x:c>
      <x:c r="H43" s="35" t="str">
        <x:v>SYS_CD_GRP.UP_GRP_ID 필드를 Entity/DTO/입력·조회 SQL에 반영하고 기존 데이터 채움 정책 확인</x:v>
      </x:c>
      <x:c r="I43" s="35" t="str">
        <x:v>미착수</x:v>
      </x:c>
      <x:c r="J43" s="35" t="str"/>
      <x:c r="K43" s="36" t="str"/>
      <x:c r="L43" s="35" t="str"/>
    </x:row>
    <x:row r="44">
      <x:c r="A44" s="35" t="n">
        <x:v>40</x:v>
      </x:c>
      <x:c r="B44" s="35" t="str">
        <x:v>P1</x:v>
      </x:c>
      <x:c r="C44" s="35" t="str">
        <x:v>SYS_CD</x:v>
      </x:c>
      <x:c r="D44" s="35" t="str">
        <x:v>SYS_CD</x:v>
      </x:c>
      <x:c r="E44" s="35" t="str">
        <x:v>USE_YN</x:v>
      </x:c>
      <x:c r="F44" s="35" t="str">
        <x:v>USE_YN</x:v>
      </x:c>
      <x:c r="G44" s="35" t="str">
        <x:v>정의 변경</x:v>
      </x:c>
      <x:c r="H44" s="35" t="str">
        <x:v>SYS_CD.USE_YN의 타입·NULL·기본값·키 정의에 맞춰 스키마와 검증 로직 수정</x:v>
      </x:c>
      <x:c r="I44" s="35" t="str">
        <x:v>미착수</x:v>
      </x:c>
      <x:c r="J44" s="35" t="str"/>
      <x:c r="K44" s="36" t="str"/>
      <x:c r="L44" s="35" t="str"/>
    </x:row>
    <x:row r="45">
      <x:c r="A45" s="35" t="n">
        <x:v>41</x:v>
      </x:c>
      <x:c r="B45" s="35" t="str">
        <x:v>P2</x:v>
      </x:c>
      <x:c r="C45" s="35" t="str">
        <x:v>SYS_CD</x:v>
      </x:c>
      <x:c r="D45" s="35" t="str">
        <x:v>SYS_CD</x:v>
      </x:c>
      <x:c r="E45" s="35" t="str">
        <x:v>SYS_CRT_DT</x:v>
      </x:c>
      <x:c r="F45" s="35" t="str">
        <x:v>SYS_GEN_DT</x:v>
      </x:c>
      <x:c r="G45" s="35" t="str">
        <x:v>이름변경</x:v>
      </x:c>
      <x:c r="H45" s="35" t="str">
        <x:v>SYS_CD.SYS_CRT_DT 참조를 SYS_CD.SYS_GEN_DT로 변경하고 SQL alias/직렬화 명칭 점검</x:v>
      </x:c>
      <x:c r="I45" s="35" t="str">
        <x:v>미착수</x:v>
      </x:c>
      <x:c r="J45" s="35" t="str"/>
      <x:c r="K45" s="36" t="str"/>
      <x:c r="L45" s="35" t="str"/>
    </x:row>
    <x:row r="46">
      <x:c r="A46" s="35" t="n">
        <x:v>42</x:v>
      </x:c>
      <x:c r="B46" s="35" t="str">
        <x:v>P2</x:v>
      </x:c>
      <x:c r="C46" s="35" t="str">
        <x:v>SYS_CD</x:v>
      </x:c>
      <x:c r="D46" s="35" t="str">
        <x:v>SYS_CD</x:v>
      </x:c>
      <x:c r="E46" s="35" t="str">
        <x:v>SYS_UPD_DT</x:v>
      </x:c>
      <x:c r="F46" s="35" t="str">
        <x:v>SYS_MDFCN_DT</x:v>
      </x:c>
      <x:c r="G46" s="35" t="str">
        <x:v>이름변경</x:v>
      </x:c>
      <x:c r="H46" s="35" t="str">
        <x:v>SYS_CD.SYS_UPD_DT 참조를 SYS_CD.SYS_MDFCN_DT로 변경하고 SQL alias/직렬화 명칭 점검</x:v>
      </x:c>
      <x:c r="I46" s="35" t="str">
        <x:v>미착수</x:v>
      </x:c>
      <x:c r="J46" s="35" t="str"/>
      <x:c r="K46" s="36" t="str"/>
      <x:c r="L46" s="35" t="str"/>
    </x:row>
    <x:row r="47">
      <x:c r="A47" s="35" t="n">
        <x:v>43</x:v>
      </x:c>
      <x:c r="B47" s="35" t="str">
        <x:v>P2</x:v>
      </x:c>
      <x:c r="C47" s="35" t="str">
        <x:v>SYS_CD</x:v>
      </x:c>
      <x:c r="D47" s="35" t="str">
        <x:v>SYS_CD</x:v>
      </x:c>
      <x:c r="E47" s="35" t="str">
        <x:v>SYS_UPD_USR_ID</x:v>
      </x:c>
      <x:c r="F47" s="35" t="str">
        <x:v>TUN_APRV_YMD</x:v>
      </x:c>
      <x:c r="G47" s="35" t="str">
        <x:v>이름+정의 변경</x:v>
      </x:c>
      <x:c r="H47" s="35" t="str">
        <x:v>코드 변경 불필요. 회귀 테스트만 수행</x:v>
      </x:c>
      <x:c r="I47" s="35" t="str">
        <x:v>미착수</x:v>
      </x:c>
      <x:c r="J47" s="35" t="str"/>
      <x:c r="K47" s="36" t="str"/>
      <x:c r="L47" s="35" t="str">
        <x:v>업무 의미가 달라 보이므로 설계자 확인 필요</x:v>
      </x:c>
    </x:row>
    <x:row r="48">
      <x:c r="A48" s="35" t="n">
        <x:v>44</x:v>
      </x:c>
      <x:c r="B48" s="35" t="str">
        <x:v>P2</x:v>
      </x:c>
      <x:c r="C48" s="35" t="str">
        <x:v>SYS_CD</x:v>
      </x:c>
      <x:c r="D48" s="35" t="str">
        <x:v>SYS_CD</x:v>
      </x:c>
      <x:c r="E48" s="35" t="str"/>
      <x:c r="F48" s="35" t="str">
        <x:v>UP_CD_ID</x:v>
      </x:c>
      <x:c r="G48" s="35" t="str">
        <x:v>컬럼 추가</x:v>
      </x:c>
      <x:c r="H48" s="35" t="str">
        <x:v>SYS_CD.UP_CD_ID 필드를 Entity/DTO/입력·조회 SQL에 반영하고 기존 데이터 채움 정책 확인</x:v>
      </x:c>
      <x:c r="I48" s="35" t="str">
        <x:v>미착수</x:v>
      </x:c>
      <x:c r="J48" s="35" t="str"/>
      <x:c r="K48" s="36" t="str"/>
      <x:c r="L48" s="35" t="str"/>
    </x:row>
    <x:row r="49">
      <x:c r="A49" s="35" t="n">
        <x:v>45</x:v>
      </x:c>
      <x:c r="B49" s="35" t="str">
        <x:v>P2</x:v>
      </x:c>
      <x:c r="C49" s="35" t="str">
        <x:v>SYS_DEPT_GRP</x:v>
      </x:c>
      <x:c r="D49" s="35" t="str">
        <x:v>SYS_DEPT_GRP</x:v>
      </x:c>
      <x:c r="E49" s="35" t="str">
        <x:v>TOP_GRP_ID</x:v>
      </x:c>
      <x:c r="F49" s="35" t="str">
        <x:v>UP_GRP_ID</x:v>
      </x:c>
      <x:c r="G49" s="35" t="str">
        <x:v>이름변경</x:v>
      </x:c>
      <x:c r="H49" s="35" t="str">
        <x:v>SYS_DEPT_GRP.TOP_GRP_ID 참조를 SYS_DEPT_GRP.UP_GRP_ID로 변경하고 SQL alias/직렬화 명칭 점검</x:v>
      </x:c>
      <x:c r="I49" s="35" t="str">
        <x:v>미착수</x:v>
      </x:c>
      <x:c r="J49" s="35" t="str"/>
      <x:c r="K49" s="36" t="str"/>
      <x:c r="L49" s="35" t="str"/>
    </x:row>
    <x:row r="50">
      <x:c r="A50" s="35" t="n">
        <x:v>46</x:v>
      </x:c>
      <x:c r="B50" s="35" t="str">
        <x:v>P2</x:v>
      </x:c>
      <x:c r="C50" s="35" t="str">
        <x:v>SYS_DEPT_GRP</x:v>
      </x:c>
      <x:c r="D50" s="35" t="str">
        <x:v>SYS_DEPT_GRP</x:v>
      </x:c>
      <x:c r="E50" s="35" t="str">
        <x:v>SYS_CRT_DT</x:v>
      </x:c>
      <x:c r="F50" s="35" t="str">
        <x:v>SYS_GEN_DT</x:v>
      </x:c>
      <x:c r="G50" s="35" t="str">
        <x:v>이름변경</x:v>
      </x:c>
      <x:c r="H50" s="35" t="str">
        <x:v>SYS_DEPT_GRP.SYS_CRT_DT 참조를 SYS_DEPT_GRP.SYS_GEN_DT로 변경하고 SQL alias/직렬화 명칭 점검</x:v>
      </x:c>
      <x:c r="I50" s="35" t="str">
        <x:v>미착수</x:v>
      </x:c>
      <x:c r="J50" s="35" t="str"/>
      <x:c r="K50" s="36" t="str"/>
      <x:c r="L50" s="35" t="str"/>
    </x:row>
    <x:row r="51">
      <x:c r="A51" s="35" t="n">
        <x:v>47</x:v>
      </x:c>
      <x:c r="B51" s="35" t="str">
        <x:v>P2</x:v>
      </x:c>
      <x:c r="C51" s="35" t="str">
        <x:v>SYS_DEPT_GRP</x:v>
      </x:c>
      <x:c r="D51" s="35" t="str">
        <x:v>SYS_DEPT_GRP</x:v>
      </x:c>
      <x:c r="E51" s="35" t="str">
        <x:v>SYS_CRT_USR_ID</x:v>
      </x:c>
      <x:c r="F51" s="35" t="str">
        <x:v>SYS_GEN_ID</x:v>
      </x:c>
      <x:c r="G51" s="35" t="str">
        <x:v>이름변경</x:v>
      </x:c>
      <x:c r="H51" s="35" t="str">
        <x:v>SYS_DEPT_GRP.SYS_CRT_USR_ID 참조를 SYS_DEPT_GRP.SYS_GEN_ID로 변경하고 SQL alias/직렬화 명칭 점검</x:v>
      </x:c>
      <x:c r="I51" s="35" t="str">
        <x:v>미착수</x:v>
      </x:c>
      <x:c r="J51" s="35" t="str"/>
      <x:c r="K51" s="36" t="str"/>
      <x:c r="L51" s="35" t="str"/>
    </x:row>
    <x:row r="52">
      <x:c r="A52" s="35" t="n">
        <x:v>48</x:v>
      </x:c>
      <x:c r="B52" s="35" t="str">
        <x:v>P2</x:v>
      </x:c>
      <x:c r="C52" s="35" t="str">
        <x:v>SYS_DEPT_GRP</x:v>
      </x:c>
      <x:c r="D52" s="35" t="str">
        <x:v>SYS_DEPT_GRP</x:v>
      </x:c>
      <x:c r="E52" s="35" t="str">
        <x:v>SYS_UPD_DT</x:v>
      </x:c>
      <x:c r="F52" s="35" t="str">
        <x:v>SYS_MDFCN_DT</x:v>
      </x:c>
      <x:c r="G52" s="35" t="str">
        <x:v>이름+정의 변경</x:v>
      </x:c>
      <x:c r="H52" s="35" t="str">
        <x:v>코드 변경 불필요. 회귀 테스트만 수행</x:v>
      </x:c>
      <x:c r="I52" s="35" t="str">
        <x:v>미착수</x:v>
      </x:c>
      <x:c r="J52" s="35" t="str"/>
      <x:c r="K52" s="36" t="str"/>
      <x:c r="L52" s="35" t="str"/>
    </x:row>
    <x:row r="53">
      <x:c r="A53" s="35" t="n">
        <x:v>49</x:v>
      </x:c>
      <x:c r="B53" s="35" t="str">
        <x:v>P2</x:v>
      </x:c>
      <x:c r="C53" s="35" t="str">
        <x:v>SYS_DEPT_GRP</x:v>
      </x:c>
      <x:c r="D53" s="35" t="str">
        <x:v>SYS_DEPT_GRP</x:v>
      </x:c>
      <x:c r="E53" s="35" t="str">
        <x:v>SYS_UPD_USR_ID</x:v>
      </x:c>
      <x:c r="F53" s="35" t="str">
        <x:v>SYS_MDFR_ID</x:v>
      </x:c>
      <x:c r="G53" s="35" t="str">
        <x:v>이름+정의 변경</x:v>
      </x:c>
      <x:c r="H53" s="35" t="str">
        <x:v>코드 변경 불필요. 회귀 테스트만 수행</x:v>
      </x:c>
      <x:c r="I53" s="35" t="str">
        <x:v>미착수</x:v>
      </x:c>
      <x:c r="J53" s="35" t="str"/>
      <x:c r="K53" s="36" t="str"/>
      <x:c r="L53" s="35" t="str"/>
    </x:row>
    <x:row r="54">
      <x:c r="A54" s="35" t="n">
        <x:v>50</x:v>
      </x:c>
      <x:c r="B54" s="35" t="str">
        <x:v>P1</x:v>
      </x:c>
      <x:c r="C54" s="35" t="str">
        <x:v>SYS_EVT_LOG</x:v>
      </x:c>
      <x:c r="D54" s="35" t="str">
        <x:v>SYS_ADT_LOG</x:v>
      </x:c>
      <x:c r="E54" s="35" t="str">
        <x:v>EMAIL</x:v>
      </x:c>
      <x:c r="F54" s="35" t="str">
        <x:v>UP_GRP_ID</x:v>
      </x:c>
      <x:c r="G54" s="35" t="str">
        <x:v>이름변경</x:v>
      </x:c>
      <x:c r="H54" s="35" t="str">
        <x:v>SYS_EVT_LOG.EMAIL 참조를 SYS_ADT_LOG.UP_GRP_ID로 변경하고 SQL alias/직렬화 명칭 점검; 테이블 참조 SYS_EVT_LOG → SYS_ADT_LOG 변경</x:v>
      </x:c>
      <x:c r="I54" s="35" t="str">
        <x:v>미착수</x:v>
      </x:c>
      <x:c r="J54" s="35" t="str"/>
      <x:c r="K54" s="36" t="str"/>
      <x:c r="L54" s="35" t="str">
        <x:v>업무 의미가 달라 보이므로 설계자 확인 필요</x:v>
      </x:c>
    </x:row>
    <x:row r="55">
      <x:c r="A55" s="35" t="n">
        <x:v>51</x:v>
      </x:c>
      <x:c r="B55" s="35" t="str">
        <x:v>P2</x:v>
      </x:c>
      <x:c r="C55" s="35" t="str">
        <x:v>SYS_EVT_LOG</x:v>
      </x:c>
      <x:c r="D55" s="35" t="str">
        <x:v>SYS_ADT_LOG</x:v>
      </x:c>
      <x:c r="E55" s="35" t="str">
        <x:v>TGT_TBL</x:v>
      </x:c>
      <x:c r="F55" s="35" t="str">
        <x:v>TRGT_TBL_NM</x:v>
      </x:c>
      <x:c r="G55" s="35" t="str">
        <x:v>이름변경</x:v>
      </x:c>
      <x:c r="H55" s="35" t="str">
        <x:v>SYS_EVT_LOG.TGT_TBL 참조를 SYS_ADT_LOG.TRGT_TBL_NM로 변경하고 SQL alias/직렬화 명칭 점검; 테이블 참조 SYS_EVT_LOG → SYS_ADT_LOG 변경</x:v>
      </x:c>
      <x:c r="I55" s="35" t="str">
        <x:v>미착수</x:v>
      </x:c>
      <x:c r="J55" s="35" t="str"/>
      <x:c r="K55" s="36" t="str"/>
      <x:c r="L55" s="35" t="str"/>
    </x:row>
    <x:row r="56">
      <x:c r="A56" s="35" t="n">
        <x:v>52</x:v>
      </x:c>
      <x:c r="B56" s="35" t="str">
        <x:v>P2</x:v>
      </x:c>
      <x:c r="C56" s="35" t="str">
        <x:v>SYS_EVT_LOG</x:v>
      </x:c>
      <x:c r="D56" s="35" t="str">
        <x:v>SYS_ADT_LOG</x:v>
      </x:c>
      <x:c r="E56" s="35" t="str">
        <x:v>TGT_ID</x:v>
      </x:c>
      <x:c r="F56" s="35" t="str">
        <x:v>TRGT_ID</x:v>
      </x:c>
      <x:c r="G56" s="35" t="str">
        <x:v>이름변경</x:v>
      </x:c>
      <x:c r="H56" s="35" t="str">
        <x:v>SYS_EVT_LOG.TGT_ID 참조를 SYS_ADT_LOG.TRGT_ID로 변경하고 SQL alias/직렬화 명칭 점검; 테이블 참조 SYS_EVT_LOG → SYS_ADT_LOG 변경</x:v>
      </x:c>
      <x:c r="I56" s="35" t="str">
        <x:v>미착수</x:v>
      </x:c>
      <x:c r="J56" s="35" t="str"/>
      <x:c r="K56" s="36" t="str"/>
      <x:c r="L56" s="35" t="str"/>
    </x:row>
    <x:row r="57">
      <x:c r="A57" s="35" t="n">
        <x:v>53</x:v>
      </x:c>
      <x:c r="B57" s="35" t="str">
        <x:v>P2</x:v>
      </x:c>
      <x:c r="C57" s="35" t="str">
        <x:v>SYS_EVT_LOG</x:v>
      </x:c>
      <x:c r="D57" s="35" t="str">
        <x:v>SYS_ADT_LOG</x:v>
      </x:c>
      <x:c r="E57" s="35" t="str">
        <x:v>BFR_DATA</x:v>
      </x:c>
      <x:c r="F57" s="35" t="str">
        <x:v>CHG_PREV_DATA</x:v>
      </x:c>
      <x:c r="G57" s="35" t="str">
        <x:v>이름변경</x:v>
      </x:c>
      <x:c r="H57" s="35" t="str">
        <x:v>SYS_EVT_LOG.BFR_DATA 참조를 SYS_ADT_LOG.CHG_PREV_DATA로 변경하고 SQL alias/직렬화 명칭 점검; 테이블 참조 SYS_EVT_LOG → SYS_ADT_LOG 변경</x:v>
      </x:c>
      <x:c r="I57" s="35" t="str">
        <x:v>미착수</x:v>
      </x:c>
      <x:c r="J57" s="35" t="str"/>
      <x:c r="K57" s="36" t="str"/>
      <x:c r="L57" s="35" t="str"/>
    </x:row>
    <x:row r="58">
      <x:c r="A58" s="35" t="n">
        <x:v>54</x:v>
      </x:c>
      <x:c r="B58" s="35" t="str">
        <x:v>P2</x:v>
      </x:c>
      <x:c r="C58" s="35" t="str">
        <x:v>SYS_EVT_LOG</x:v>
      </x:c>
      <x:c r="D58" s="35" t="str">
        <x:v>SYS_ADT_LOG</x:v>
      </x:c>
      <x:c r="E58" s="35" t="str">
        <x:v>AFT_DATA</x:v>
      </x:c>
      <x:c r="F58" s="35" t="str">
        <x:v>CHG_AFTR_DATA</x:v>
      </x:c>
      <x:c r="G58" s="35" t="str">
        <x:v>이름변경</x:v>
      </x:c>
      <x:c r="H58" s="35" t="str">
        <x:v>SYS_EVT_LOG.AFT_DATA 참조를 SYS_ADT_LOG.CHG_AFTR_DATA로 변경하고 SQL alias/직렬화 명칭 점검; 테이블 참조 SYS_EVT_LOG → SYS_ADT_LOG 변경</x:v>
      </x:c>
      <x:c r="I58" s="35" t="str">
        <x:v>미착수</x:v>
      </x:c>
      <x:c r="J58" s="35" t="str"/>
      <x:c r="K58" s="36" t="str"/>
      <x:c r="L58" s="35" t="str"/>
    </x:row>
    <x:row r="59">
      <x:c r="A59" s="35" t="n">
        <x:v>55</x:v>
      </x:c>
      <x:c r="B59" s="35" t="str">
        <x:v>P1</x:v>
      </x:c>
      <x:c r="C59" s="35" t="str">
        <x:v>SYS_EVT_LOG</x:v>
      </x:c>
      <x:c r="D59" s="35" t="str">
        <x:v>SYS_ADT_LOG</x:v>
      </x:c>
      <x:c r="E59" s="35" t="str">
        <x:v>IP_ADDR</x:v>
      </x:c>
      <x:c r="F59" s="35" t="str"/>
      <x:c r="G59" s="35" t="str">
        <x:v>컬럼 삭제</x:v>
      </x:c>
      <x:c r="H59" s="35" t="str">
        <x:v>데이터 보존 여부 결정 후 SYS_EVT_LOG.IP_ADDR 참조(Entity/DTO/SQL/XML)을 제거 또는 대체; 테이블 참조 SYS_EVT_LOG → SYS_ADT_LOG 변경</x:v>
      </x:c>
      <x:c r="I59" s="35" t="str">
        <x:v>미착수</x:v>
      </x:c>
      <x:c r="J59" s="35" t="str"/>
      <x:c r="K59" s="36" t="str"/>
      <x:c r="L59" s="35" t="str"/>
    </x:row>
    <x:row r="60">
      <x:c r="A60" s="35" t="n">
        <x:v>56</x:v>
      </x:c>
      <x:c r="B60" s="35" t="str">
        <x:v>P1</x:v>
      </x:c>
      <x:c r="C60" s="35" t="str">
        <x:v>SYS_EVT_LOG</x:v>
      </x:c>
      <x:c r="D60" s="35" t="str">
        <x:v>SYS_ADT_LOG</x:v>
      </x:c>
      <x:c r="E60" s="35" t="str">
        <x:v>SYS_CRT_DT</x:v>
      </x:c>
      <x:c r="F60" s="35" t="str"/>
      <x:c r="G60" s="35" t="str">
        <x:v>컬럼 삭제</x:v>
      </x:c>
      <x:c r="H60" s="35" t="str">
        <x:v>데이터 보존 여부 결정 후 SYS_EVT_LOG.SYS_CRT_DT 참조(Entity/DTO/SQL/XML)을 제거 또는 대체; 테이블 참조 SYS_EVT_LOG → SYS_ADT_LOG 변경</x:v>
      </x:c>
      <x:c r="I60" s="35" t="str">
        <x:v>미착수</x:v>
      </x:c>
      <x:c r="J60" s="35" t="str"/>
      <x:c r="K60" s="36" t="str"/>
      <x:c r="L60" s="35" t="str"/>
    </x:row>
    <x:row r="61">
      <x:c r="A61" s="35" t="n">
        <x:v>57</x:v>
      </x:c>
      <x:c r="B61" s="35" t="str">
        <x:v>P2</x:v>
      </x:c>
      <x:c r="C61" s="35" t="str">
        <x:v>SYS_EVT_LOG</x:v>
      </x:c>
      <x:c r="D61" s="35" t="str">
        <x:v>SYS_ADT_LOG</x:v>
      </x:c>
      <x:c r="E61" s="35" t="str"/>
      <x:c r="F61" s="35" t="str">
        <x:v>CHCK</x:v>
      </x:c>
      <x:c r="G61" s="35" t="str">
        <x:v>컬럼 추가</x:v>
      </x:c>
      <x:c r="H61" s="35" t="str">
        <x:v>SYS_ADT_LOG.CHCK 필드를 Entity/DTO/입력·조회 SQL에 반영하고 기존 데이터 채움 정책 확인; 테이블 참조 SYS_EVT_LOG → SYS_ADT_LOG 변경</x:v>
      </x:c>
      <x:c r="I61" s="35" t="str">
        <x:v>미착수</x:v>
      </x:c>
      <x:c r="J61" s="35" t="str"/>
      <x:c r="K61" s="36" t="str"/>
      <x:c r="L61" s="35" t="str"/>
    </x:row>
    <x:row r="62">
      <x:c r="A62" s="35" t="n">
        <x:v>58</x:v>
      </x:c>
      <x:c r="B62" s="35" t="str">
        <x:v>P2</x:v>
      </x:c>
      <x:c r="C62" s="35" t="str">
        <x:v>SYS_FILE</x:v>
      </x:c>
      <x:c r="D62" s="35" t="str">
        <x:v>SYS_FILE</x:v>
      </x:c>
      <x:c r="E62" s="35" t="str">
        <x:v>SYS_CRT_DT</x:v>
      </x:c>
      <x:c r="F62" s="35" t="str">
        <x:v>SYS_GEN_DT</x:v>
      </x:c>
      <x:c r="G62" s="35" t="str">
        <x:v>이름변경</x:v>
      </x:c>
      <x:c r="H62" s="35" t="str">
        <x:v>SYS_FILE.SYS_CRT_DT 참조를 SYS_FILE.SYS_GEN_DT로 변경하고 SQL alias/직렬화 명칭 점검</x:v>
      </x:c>
      <x:c r="I62" s="35" t="str">
        <x:v>미착수</x:v>
      </x:c>
      <x:c r="J62" s="35" t="str"/>
      <x:c r="K62" s="36" t="str"/>
      <x:c r="L62" s="35" t="str"/>
    </x:row>
    <x:row r="63">
      <x:c r="A63" s="35" t="n">
        <x:v>59</x:v>
      </x:c>
      <x:c r="B63" s="35" t="str">
        <x:v>P2</x:v>
      </x:c>
      <x:c r="C63" s="35" t="str">
        <x:v>SYS_FILE</x:v>
      </x:c>
      <x:c r="D63" s="35" t="str">
        <x:v>SYS_FILE</x:v>
      </x:c>
      <x:c r="E63" s="35" t="str">
        <x:v>SYS_UPD_DT</x:v>
      </x:c>
      <x:c r="F63" s="35" t="str">
        <x:v>SYS_MDFCN_DT</x:v>
      </x:c>
      <x:c r="G63" s="35" t="str">
        <x:v>이름변경</x:v>
      </x:c>
      <x:c r="H63" s="35" t="str">
        <x:v>SYS_FILE.SYS_UPD_DT 참조를 SYS_FILE.SYS_MDFCN_DT로 변경하고 SQL alias/직렬화 명칭 점검</x:v>
      </x:c>
      <x:c r="I63" s="35" t="str">
        <x:v>미착수</x:v>
      </x:c>
      <x:c r="J63" s="35" t="str"/>
      <x:c r="K63" s="36" t="str"/>
      <x:c r="L63" s="35" t="str"/>
    </x:row>
    <x:row r="64">
      <x:c r="A64" s="35" t="n">
        <x:v>60</x:v>
      </x:c>
      <x:c r="B64" s="35" t="str">
        <x:v>P2</x:v>
      </x:c>
      <x:c r="C64" s="35" t="str">
        <x:v>SYS_FILE</x:v>
      </x:c>
      <x:c r="D64" s="35" t="str">
        <x:v>SYS_FILE</x:v>
      </x:c>
      <x:c r="E64" s="35" t="str">
        <x:v>SYS_UPD_USR_ID</x:v>
      </x:c>
      <x:c r="F64" s="35" t="str">
        <x:v>SYS_MDFR_ID</x:v>
      </x:c>
      <x:c r="G64" s="35" t="str">
        <x:v>이름+정의 변경</x:v>
      </x:c>
      <x:c r="H64" s="35" t="str">
        <x:v>코드 변경 불필요. 회귀 테스트만 수행</x:v>
      </x:c>
      <x:c r="I64" s="35" t="str">
        <x:v>미착수</x:v>
      </x:c>
      <x:c r="J64" s="35" t="str"/>
      <x:c r="K64" s="36" t="str"/>
      <x:c r="L64" s="35" t="str"/>
    </x:row>
    <x:row r="65">
      <x:c r="A65" s="35" t="n">
        <x:v>61</x:v>
      </x:c>
      <x:c r="B65" s="35" t="str">
        <x:v>P2</x:v>
      </x:c>
      <x:c r="C65" s="35" t="str">
        <x:v>SYS_FILE</x:v>
      </x:c>
      <x:c r="D65" s="35" t="str">
        <x:v>SYS_FILE</x:v>
      </x:c>
      <x:c r="E65" s="35" t="str">
        <x:v>TEMP_YN</x:v>
      </x:c>
      <x:c r="F65" s="35" t="str">
        <x:v>TMPR_FILE_YN</x:v>
      </x:c>
      <x:c r="G65" s="35" t="str">
        <x:v>이름+정의 변경</x:v>
      </x:c>
      <x:c r="H65" s="35" t="str">
        <x:v>코드 변경 불필요. 회귀 테스트만 수행</x:v>
      </x:c>
      <x:c r="I65" s="35" t="str">
        <x:v>미착수</x:v>
      </x:c>
      <x:c r="J65" s="35" t="str"/>
      <x:c r="K65" s="36" t="str"/>
      <x:c r="L65" s="35" t="str"/>
    </x:row>
    <x:row r="66">
      <x:c r="A66" s="35" t="n">
        <x:v>62</x:v>
      </x:c>
      <x:c r="B66" s="35" t="str">
        <x:v>P2</x:v>
      </x:c>
      <x:c r="C66" s="35" t="str">
        <x:v>SYS_FILE_DTL</x:v>
      </x:c>
      <x:c r="D66" s="35" t="str">
        <x:v>SYS_FILE_DTL</x:v>
      </x:c>
      <x:c r="E66" s="35" t="str">
        <x:v>FILE_EXT</x:v>
      </x:c>
      <x:c r="F66" s="35" t="str">
        <x:v>FEXT</x:v>
      </x:c>
      <x:c r="G66" s="35" t="str">
        <x:v>이름변경</x:v>
      </x:c>
      <x:c r="H66" s="35" t="str">
        <x:v>SYS_FILE_DTL.FILE_EXT 참조를 SYS_FILE_DTL.FEXT로 변경하고 SQL alias/직렬화 명칭 점검</x:v>
      </x:c>
      <x:c r="I66" s="35" t="str">
        <x:v>미착수</x:v>
      </x:c>
      <x:c r="J66" s="35" t="str"/>
      <x:c r="K66" s="36" t="str"/>
      <x:c r="L66" s="35" t="str"/>
    </x:row>
    <x:row r="67">
      <x:c r="A67" s="35" t="n">
        <x:v>63</x:v>
      </x:c>
      <x:c r="B67" s="35" t="str">
        <x:v>P2</x:v>
      </x:c>
      <x:c r="C67" s="35" t="str">
        <x:v>SYS_FILE_DTL</x:v>
      </x:c>
      <x:c r="D67" s="35" t="str">
        <x:v>SYS_FILE_DTL</x:v>
      </x:c>
      <x:c r="E67" s="35" t="str">
        <x:v>SYS_CRT_DT</x:v>
      </x:c>
      <x:c r="F67" s="35" t="str">
        <x:v>SYS_GEN_DT</x:v>
      </x:c>
      <x:c r="G67" s="35" t="str">
        <x:v>이름변경</x:v>
      </x:c>
      <x:c r="H67" s="35" t="str">
        <x:v>SYS_FILE_DTL.SYS_CRT_DT 참조를 SYS_FILE_DTL.SYS_GEN_DT로 변경하고 SQL alias/직렬화 명칭 점검</x:v>
      </x:c>
      <x:c r="I67" s="35" t="str">
        <x:v>미착수</x:v>
      </x:c>
      <x:c r="J67" s="35" t="str"/>
      <x:c r="K67" s="36" t="str"/>
      <x:c r="L67" s="35" t="str"/>
    </x:row>
    <x:row r="68">
      <x:c r="A68" s="35" t="n">
        <x:v>64</x:v>
      </x:c>
      <x:c r="B68" s="35" t="str">
        <x:v>P2</x:v>
      </x:c>
      <x:c r="C68" s="35" t="str">
        <x:v>SYS_FILE_DTL</x:v>
      </x:c>
      <x:c r="D68" s="35" t="str">
        <x:v>SYS_FILE_DTL</x:v>
      </x:c>
      <x:c r="E68" s="35" t="str">
        <x:v>SYS_UPD_DT</x:v>
      </x:c>
      <x:c r="F68" s="35" t="str">
        <x:v>SYS_MDFCN_DT</x:v>
      </x:c>
      <x:c r="G68" s="35" t="str">
        <x:v>이름변경</x:v>
      </x:c>
      <x:c r="H68" s="35" t="str">
        <x:v>SYS_FILE_DTL.SYS_UPD_DT 참조를 SYS_FILE_DTL.SYS_MDFCN_DT로 변경하고 SQL alias/직렬화 명칭 점검</x:v>
      </x:c>
      <x:c r="I68" s="35" t="str">
        <x:v>미착수</x:v>
      </x:c>
      <x:c r="J68" s="35" t="str"/>
      <x:c r="K68" s="36" t="str"/>
      <x:c r="L68" s="35" t="str"/>
    </x:row>
    <x:row r="69">
      <x:c r="A69" s="35" t="n">
        <x:v>65</x:v>
      </x:c>
      <x:c r="B69" s="35" t="str">
        <x:v>P2</x:v>
      </x:c>
      <x:c r="C69" s="35" t="str">
        <x:v>SYS_FILE_DTL</x:v>
      </x:c>
      <x:c r="D69" s="35" t="str">
        <x:v>SYS_FILE_DTL</x:v>
      </x:c>
      <x:c r="E69" s="35" t="str">
        <x:v>SYS_UPD_USR_ID</x:v>
      </x:c>
      <x:c r="F69" s="35" t="str">
        <x:v>SYS_MDFR_ID</x:v>
      </x:c>
      <x:c r="G69" s="35" t="str">
        <x:v>이름+정의 변경</x:v>
      </x:c>
      <x:c r="H69" s="35" t="str">
        <x:v>코드 변경 불필요. 회귀 테스트만 수행</x:v>
      </x:c>
      <x:c r="I69" s="35" t="str">
        <x:v>미착수</x:v>
      </x:c>
      <x:c r="J69" s="35" t="str"/>
      <x:c r="K69" s="36" t="str"/>
      <x:c r="L69" s="35" t="str"/>
    </x:row>
    <x:row r="70">
      <x:c r="A70" s="35" t="n">
        <x:v>66</x:v>
      </x:c>
      <x:c r="B70" s="35" t="str">
        <x:v>P2</x:v>
      </x:c>
      <x:c r="C70" s="35" t="str">
        <x:v>SYS_MENU</x:v>
      </x:c>
      <x:c r="D70" s="35" t="str">
        <x:v>SYS_MENU</x:v>
      </x:c>
      <x:c r="E70" s="35" t="str">
        <x:v>SYS_CRT_DT</x:v>
      </x:c>
      <x:c r="F70" s="35" t="str">
        <x:v>SYS_GEN_DT</x:v>
      </x:c>
      <x:c r="G70" s="35" t="str">
        <x:v>이름변경</x:v>
      </x:c>
      <x:c r="H70" s="35" t="str">
        <x:v>SYS_MENU.SYS_CRT_DT 참조를 SYS_MENU.SYS_GEN_DT로 변경하고 SQL alias/직렬화 명칭 점검</x:v>
      </x:c>
      <x:c r="I70" s="35" t="str">
        <x:v>미착수</x:v>
      </x:c>
      <x:c r="J70" s="35" t="str"/>
      <x:c r="K70" s="36" t="str"/>
      <x:c r="L70" s="35" t="str"/>
    </x:row>
    <x:row r="71">
      <x:c r="A71" s="35" t="n">
        <x:v>67</x:v>
      </x:c>
      <x:c r="B71" s="35" t="str">
        <x:v>P2</x:v>
      </x:c>
      <x:c r="C71" s="35" t="str">
        <x:v>SYS_MENU</x:v>
      </x:c>
      <x:c r="D71" s="35" t="str">
        <x:v>SYS_MENU</x:v>
      </x:c>
      <x:c r="E71" s="35" t="str">
        <x:v>SYS_UPD_DT</x:v>
      </x:c>
      <x:c r="F71" s="35" t="str">
        <x:v>SYS_MDFCN_DT</x:v>
      </x:c>
      <x:c r="G71" s="35" t="str">
        <x:v>이름변경</x:v>
      </x:c>
      <x:c r="H71" s="35" t="str">
        <x:v>SYS_MENU.SYS_UPD_DT 참조를 SYS_MENU.SYS_MDFCN_DT로 변경하고 SQL alias/직렬화 명칭 점검</x:v>
      </x:c>
      <x:c r="I71" s="35" t="str">
        <x:v>미착수</x:v>
      </x:c>
      <x:c r="J71" s="35" t="str"/>
      <x:c r="K71" s="36" t="str"/>
      <x:c r="L71" s="35" t="str"/>
    </x:row>
    <x:row r="72">
      <x:c r="A72" s="35" t="n">
        <x:v>68</x:v>
      </x:c>
      <x:c r="B72" s="35" t="str">
        <x:v>P2</x:v>
      </x:c>
      <x:c r="C72" s="35" t="str">
        <x:v>SYS_MENU</x:v>
      </x:c>
      <x:c r="D72" s="35" t="str">
        <x:v>SYS_MENU</x:v>
      </x:c>
      <x:c r="E72" s="35" t="str">
        <x:v>SYS_UPD_USR_ID</x:v>
      </x:c>
      <x:c r="F72" s="35" t="str">
        <x:v>SYS_MDFR_ID</x:v>
      </x:c>
      <x:c r="G72" s="35" t="str">
        <x:v>이름+정의 변경</x:v>
      </x:c>
      <x:c r="H72" s="35" t="str">
        <x:v>코드 변경 불필요. 회귀 테스트만 수행</x:v>
      </x:c>
      <x:c r="I72" s="35" t="str">
        <x:v>미착수</x:v>
      </x:c>
      <x:c r="J72" s="35" t="str"/>
      <x:c r="K72" s="36" t="str"/>
      <x:c r="L72" s="35" t="str"/>
    </x:row>
    <x:row r="73">
      <x:c r="A73" s="35" t="n">
        <x:v>69</x:v>
      </x:c>
      <x:c r="B73" s="35" t="str">
        <x:v>P2</x:v>
      </x:c>
      <x:c r="C73" s="35" t="str">
        <x:v>SYS_MENU</x:v>
      </x:c>
      <x:c r="D73" s="35" t="str">
        <x:v>SYS_MENU</x:v>
      </x:c>
      <x:c r="E73" s="35" t="str">
        <x:v>MENU_SEQ</x:v>
      </x:c>
      <x:c r="F73" s="35" t="str">
        <x:v>MENU_UNQ_NO</x:v>
      </x:c>
      <x:c r="G73" s="35" t="str">
        <x:v>이름+정의 변경</x:v>
      </x:c>
      <x:c r="H73" s="35" t="str">
        <x:v>코드 변경 불필요. 회귀 테스트만 수행</x:v>
      </x:c>
      <x:c r="I73" s="35" t="str">
        <x:v>미착수</x:v>
      </x:c>
      <x:c r="J73" s="35" t="str"/>
      <x:c r="K73" s="36" t="str"/>
      <x:c r="L73" s="35" t="str"/>
    </x:row>
    <x:row r="74">
      <x:c r="A74" s="35" t="n">
        <x:v>70</x:v>
      </x:c>
      <x:c r="B74" s="35" t="str">
        <x:v>P2</x:v>
      </x:c>
      <x:c r="C74" s="35" t="str">
        <x:v>SYS_OFFC</x:v>
      </x:c>
      <x:c r="D74" s="35" t="str">
        <x:v>SYS_INST</x:v>
      </x:c>
      <x:c r="E74" s="35" t="str">
        <x:v>TOP_OFFC_CD</x:v>
      </x:c>
      <x:c r="F74" s="35" t="str">
        <x:v>UP_INST_CD</x:v>
      </x:c>
      <x:c r="G74" s="35" t="str">
        <x:v>이름변경</x:v>
      </x:c>
      <x:c r="H74" s="35" t="str">
        <x:v>SYS_OFFC.TOP_OFFC_CD 참조를 SYS_INST.UP_INST_CD로 변경하고 SQL alias/직렬화 명칭 점검; 테이블 참조 SYS_OFFC → SYS_INST 변경</x:v>
      </x:c>
      <x:c r="I74" s="35" t="str">
        <x:v>미착수</x:v>
      </x:c>
      <x:c r="J74" s="35" t="str"/>
      <x:c r="K74" s="36" t="str"/>
      <x:c r="L74" s="35" t="str"/>
    </x:row>
    <x:row r="75">
      <x:c r="A75" s="35" t="n">
        <x:v>71</x:v>
      </x:c>
      <x:c r="B75" s="35" t="str">
        <x:v>P2</x:v>
      </x:c>
      <x:c r="C75" s="35" t="str">
        <x:v>SYS_OFFC</x:v>
      </x:c>
      <x:c r="D75" s="35" t="str">
        <x:v>SYS_INST</x:v>
      </x:c>
      <x:c r="E75" s="35" t="str">
        <x:v>OFFC_NM</x:v>
      </x:c>
      <x:c r="F75" s="35" t="str">
        <x:v>INST_NM</x:v>
      </x:c>
      <x:c r="G75" s="35" t="str">
        <x:v>이름변경</x:v>
      </x:c>
      <x:c r="H75" s="35" t="str">
        <x:v>SYS_OFFC.OFFC_NM 참조를 SYS_INST.INST_NM로 변경하고 SQL alias/직렬화 명칭 점검; 테이블 참조 SYS_OFFC → SYS_INST 변경</x:v>
      </x:c>
      <x:c r="I75" s="35" t="str">
        <x:v>미착수</x:v>
      </x:c>
      <x:c r="J75" s="35" t="str"/>
      <x:c r="K75" s="36" t="str"/>
      <x:c r="L75" s="35" t="str"/>
    </x:row>
    <x:row r="76">
      <x:c r="A76" s="35" t="n">
        <x:v>72</x:v>
      </x:c>
      <x:c r="B76" s="35" t="str">
        <x:v>P2</x:v>
      </x:c>
      <x:c r="C76" s="35" t="str">
        <x:v>SYS_OFFC</x:v>
      </x:c>
      <x:c r="D76" s="35" t="str">
        <x:v>SYS_INST</x:v>
      </x:c>
      <x:c r="E76" s="35" t="str">
        <x:v>OFFC_CD</x:v>
      </x:c>
      <x:c r="F76" s="35" t="str">
        <x:v>INST_CD</x:v>
      </x:c>
      <x:c r="G76" s="35" t="str">
        <x:v>이름변경</x:v>
      </x:c>
      <x:c r="H76" s="35" t="str">
        <x:v>SYS_OFFC.OFFC_CD 참조를 SYS_INST.INST_CD로 변경하고 SQL alias/직렬화 명칭 점검; 테이블 참조 SYS_OFFC → SYS_INST 변경</x:v>
      </x:c>
      <x:c r="I76" s="35" t="str">
        <x:v>미착수</x:v>
      </x:c>
      <x:c r="J76" s="35" t="str"/>
      <x:c r="K76" s="36" t="str"/>
      <x:c r="L76" s="35" t="str"/>
    </x:row>
    <x:row r="77">
      <x:c r="A77" s="35" t="n">
        <x:v>73</x:v>
      </x:c>
      <x:c r="B77" s="35" t="str">
        <x:v>P2</x:v>
      </x:c>
      <x:c r="C77" s="35" t="str">
        <x:v>SYS_OFFC</x:v>
      </x:c>
      <x:c r="D77" s="35" t="str">
        <x:v>SYS_INST</x:v>
      </x:c>
      <x:c r="E77" s="35" t="str">
        <x:v>OFFC_TYPE</x:v>
      </x:c>
      <x:c r="F77" s="35" t="str">
        <x:v>INST_SE_CD</x:v>
      </x:c>
      <x:c r="G77" s="35" t="str">
        <x:v>이름+정의 변경</x:v>
      </x:c>
      <x:c r="H77" s="35" t="str">
        <x:v>코드 변경 불필요. 회귀 테스트만 수행; 테이블 참조 SYS_OFFC → SYS_INST 변경</x:v>
      </x:c>
      <x:c r="I77" s="35" t="str">
        <x:v>미착수</x:v>
      </x:c>
      <x:c r="J77" s="35" t="str"/>
      <x:c r="K77" s="36" t="str"/>
      <x:c r="L77" s="35" t="str"/>
    </x:row>
    <x:row r="78">
      <x:c r="A78" s="35" t="n">
        <x:v>74</x:v>
      </x:c>
      <x:c r="B78" s="35" t="str">
        <x:v>P2</x:v>
      </x:c>
      <x:c r="C78" s="35" t="str">
        <x:v>SYS_OFFC</x:v>
      </x:c>
      <x:c r="D78" s="35" t="str">
        <x:v>SYS_INST</x:v>
      </x:c>
      <x:c r="E78" s="35" t="str">
        <x:v>OFFC_TYPE_CD</x:v>
      </x:c>
      <x:c r="F78" s="35" t="str">
        <x:v>INST_TYPE_CD</x:v>
      </x:c>
      <x:c r="G78" s="35" t="str">
        <x:v>이름변경</x:v>
      </x:c>
      <x:c r="H78" s="35" t="str">
        <x:v>SYS_OFFC.OFFC_TYPE_CD 참조를 SYS_INST.INST_TYPE_CD로 변경하고 SQL alias/직렬화 명칭 점검; 테이블 참조 SYS_OFFC → SYS_INST 변경</x:v>
      </x:c>
      <x:c r="I78" s="35" t="str">
        <x:v>미착수</x:v>
      </x:c>
      <x:c r="J78" s="35" t="str"/>
      <x:c r="K78" s="36" t="str"/>
      <x:c r="L78" s="35" t="str"/>
    </x:row>
    <x:row r="79">
      <x:c r="A79" s="35" t="n">
        <x:v>75</x:v>
      </x:c>
      <x:c r="B79" s="35" t="str">
        <x:v>P2</x:v>
      </x:c>
      <x:c r="C79" s="35" t="str">
        <x:v>SYS_OFFC</x:v>
      </x:c>
      <x:c r="D79" s="35" t="str">
        <x:v>SYS_INST</x:v>
      </x:c>
      <x:c r="E79" s="35" t="str">
        <x:v>SYS_CRT_DT</x:v>
      </x:c>
      <x:c r="F79" s="35" t="str">
        <x:v>SYS_GEN_DT</x:v>
      </x:c>
      <x:c r="G79" s="35" t="str">
        <x:v>이름변경</x:v>
      </x:c>
      <x:c r="H79" s="35" t="str">
        <x:v>SYS_OFFC.SYS_CRT_DT 참조를 SYS_INST.SYS_GEN_DT로 변경하고 SQL alias/직렬화 명칭 점검; 테이블 참조 SYS_OFFC → SYS_INST 변경</x:v>
      </x:c>
      <x:c r="I79" s="35" t="str">
        <x:v>미착수</x:v>
      </x:c>
      <x:c r="J79" s="35" t="str"/>
      <x:c r="K79" s="36" t="str"/>
      <x:c r="L79" s="35" t="str"/>
    </x:row>
    <x:row r="80">
      <x:c r="A80" s="35" t="n">
        <x:v>76</x:v>
      </x:c>
      <x:c r="B80" s="35" t="str">
        <x:v>P2</x:v>
      </x:c>
      <x:c r="C80" s="35" t="str">
        <x:v>SYS_OFFC</x:v>
      </x:c>
      <x:c r="D80" s="35" t="str">
        <x:v>SYS_INST</x:v>
      </x:c>
      <x:c r="E80" s="35" t="str">
        <x:v>SYS_UPD_USR_ID</x:v>
      </x:c>
      <x:c r="F80" s="35" t="str">
        <x:v>SYS_MDFR_ID</x:v>
      </x:c>
      <x:c r="G80" s="35" t="str">
        <x:v>이름+정의 변경</x:v>
      </x:c>
      <x:c r="H80" s="35" t="str">
        <x:v>코드 변경 불필요. 회귀 테스트만 수행; 테이블 참조 SYS_OFFC → SYS_INST 변경</x:v>
      </x:c>
      <x:c r="I80" s="35" t="str">
        <x:v>미착수</x:v>
      </x:c>
      <x:c r="J80" s="35" t="str"/>
      <x:c r="K80" s="36" t="str"/>
      <x:c r="L80" s="35" t="str"/>
    </x:row>
    <x:row r="81">
      <x:c r="A81" s="35" t="n">
        <x:v>77</x:v>
      </x:c>
      <x:c r="B81" s="35" t="str">
        <x:v>P2</x:v>
      </x:c>
      <x:c r="C81" s="35" t="str">
        <x:v>SYS_OFFC</x:v>
      </x:c>
      <x:c r="D81" s="35" t="str">
        <x:v>SYS_INST</x:v>
      </x:c>
      <x:c r="E81" s="35" t="str">
        <x:v>SYS_UPD_DT</x:v>
      </x:c>
      <x:c r="F81" s="35" t="str">
        <x:v>SYS_MDFCN_DT</x:v>
      </x:c>
      <x:c r="G81" s="35" t="str">
        <x:v>이름변경</x:v>
      </x:c>
      <x:c r="H81" s="35" t="str">
        <x:v>SYS_OFFC.SYS_UPD_DT 참조를 SYS_INST.SYS_MDFCN_DT로 변경하고 SQL alias/직렬화 명칭 점검; 테이블 참조 SYS_OFFC → SYS_INST 변경</x:v>
      </x:c>
      <x:c r="I81" s="35" t="str">
        <x:v>미착수</x:v>
      </x:c>
      <x:c r="J81" s="35" t="str"/>
      <x:c r="K81" s="36" t="str"/>
      <x:c r="L81" s="35" t="str"/>
    </x:row>
    <x:row r="82">
      <x:c r="A82" s="35" t="n">
        <x:v>78</x:v>
      </x:c>
      <x:c r="B82" s="35" t="str">
        <x:v>P2</x:v>
      </x:c>
      <x:c r="C82" s="35" t="str">
        <x:v>SYS_OFFC</x:v>
      </x:c>
      <x:c r="D82" s="35" t="str">
        <x:v>SYS_INST</x:v>
      </x:c>
      <x:c r="E82" s="35" t="str"/>
      <x:c r="F82" s="35" t="str">
        <x:v>INST_RBPRSN</x:v>
      </x:c>
      <x:c r="G82" s="35" t="str">
        <x:v>컬럼 추가</x:v>
      </x:c>
      <x:c r="H82" s="35" t="str">
        <x:v>SYS_INST.INST_RBPRSN 필드를 Entity/DTO/입력·조회 SQL에 반영하고 기존 데이터 채움 정책 확인; 테이블 참조 SYS_OFFC → SYS_INST 변경</x:v>
      </x:c>
      <x:c r="I82" s="35" t="str">
        <x:v>미착수</x:v>
      </x:c>
      <x:c r="J82" s="35" t="str"/>
      <x:c r="K82" s="36" t="str"/>
      <x:c r="L82" s="35" t="str"/>
    </x:row>
    <x:row r="83">
      <x:c r="A83" s="35" t="n">
        <x:v>79</x:v>
      </x:c>
      <x:c r="B83" s="35" t="str">
        <x:v>P2</x:v>
      </x:c>
      <x:c r="C83" s="35" t="str">
        <x:v>SYS_OFFC</x:v>
      </x:c>
      <x:c r="D83" s="35" t="str">
        <x:v>SYS_INST</x:v>
      </x:c>
      <x:c r="E83" s="35" t="str"/>
      <x:c r="F83" s="35" t="str">
        <x:v>TELNO</x:v>
      </x:c>
      <x:c r="G83" s="35" t="str">
        <x:v>컬럼 추가</x:v>
      </x:c>
      <x:c r="H83" s="35" t="str">
        <x:v>SYS_INST.TELNO 필드를 Entity/DTO/입력·조회 SQL에 반영하고 기존 데이터 채움 정책 확인; 테이블 참조 SYS_OFFC → SYS_INST 변경</x:v>
      </x:c>
      <x:c r="I83" s="35" t="str">
        <x:v>미착수</x:v>
      </x:c>
      <x:c r="J83" s="35" t="str"/>
      <x:c r="K83" s="36" t="str"/>
      <x:c r="L83" s="35" t="str"/>
    </x:row>
    <x:row r="84">
      <x:c r="A84" s="35" t="n">
        <x:v>80</x:v>
      </x:c>
      <x:c r="B84" s="35" t="str">
        <x:v>P2</x:v>
      </x:c>
      <x:c r="C84" s="35" t="str">
        <x:v>SYS_OFFC</x:v>
      </x:c>
      <x:c r="D84" s="35" t="str">
        <x:v>SYS_INST</x:v>
      </x:c>
      <x:c r="E84" s="35" t="str"/>
      <x:c r="F84" s="35" t="str">
        <x:v>EML</x:v>
      </x:c>
      <x:c r="G84" s="35" t="str">
        <x:v>컬럼 추가</x:v>
      </x:c>
      <x:c r="H84" s="35" t="str">
        <x:v>SYS_INST.EML 필드를 Entity/DTO/입력·조회 SQL에 반영하고 기존 데이터 채움 정책 확인; 테이블 참조 SYS_OFFC → SYS_INST 변경</x:v>
      </x:c>
      <x:c r="I84" s="35" t="str">
        <x:v>미착수</x:v>
      </x:c>
      <x:c r="J84" s="35" t="str"/>
      <x:c r="K84" s="36" t="str"/>
      <x:c r="L84" s="35" t="str"/>
    </x:row>
    <x:row r="85">
      <x:c r="A85" s="35" t="n">
        <x:v>81</x:v>
      </x:c>
      <x:c r="B85" s="35" t="str">
        <x:v>P2</x:v>
      </x:c>
      <x:c r="C85" s="35" t="str">
        <x:v>SYS_OFFC</x:v>
      </x:c>
      <x:c r="D85" s="35" t="str">
        <x:v>SYS_INST</x:v>
      </x:c>
      <x:c r="E85" s="35" t="str"/>
      <x:c r="F85" s="35" t="str">
        <x:v>OPER_HR</x:v>
      </x:c>
      <x:c r="G85" s="35" t="str">
        <x:v>컬럼 추가</x:v>
      </x:c>
      <x:c r="H85" s="35" t="str">
        <x:v>SYS_INST.OPER_HR 필드를 Entity/DTO/입력·조회 SQL에 반영하고 기존 데이터 채움 정책 확인; 테이블 참조 SYS_OFFC → SYS_INST 변경</x:v>
      </x:c>
      <x:c r="I85" s="35" t="str">
        <x:v>미착수</x:v>
      </x:c>
      <x:c r="J85" s="35" t="str"/>
      <x:c r="K85" s="36" t="str"/>
      <x:c r="L85" s="35" t="str"/>
    </x:row>
    <x:row r="86">
      <x:c r="A86" s="35" t="n">
        <x:v>82</x:v>
      </x:c>
      <x:c r="B86" s="35" t="str">
        <x:v>P2</x:v>
      </x:c>
      <x:c r="C86" s="35" t="str">
        <x:v>SYS_OFFC</x:v>
      </x:c>
      <x:c r="D86" s="35" t="str">
        <x:v>SYS_INST</x:v>
      </x:c>
      <x:c r="E86" s="35" t="str"/>
      <x:c r="F86" s="35" t="str">
        <x:v>AIMG_CD</x:v>
      </x:c>
      <x:c r="G86" s="35" t="str">
        <x:v>컬럼 추가</x:v>
      </x:c>
      <x:c r="H86" s="35" t="str">
        <x:v>SYS_INST.AIMG_CD 필드를 Entity/DTO/입력·조회 SQL에 반영하고 기존 데이터 채움 정책 확인; 테이블 참조 SYS_OFFC → SYS_INST 변경</x:v>
      </x:c>
      <x:c r="I86" s="35" t="str">
        <x:v>미착수</x:v>
      </x:c>
      <x:c r="J86" s="35" t="str"/>
      <x:c r="K86" s="36" t="str"/>
      <x:c r="L86" s="35" t="str"/>
    </x:row>
    <x:row r="87">
      <x:c r="A87" s="35" t="n">
        <x:v>83</x:v>
      </x:c>
      <x:c r="B87" s="35" t="str">
        <x:v>P2</x:v>
      </x:c>
      <x:c r="C87" s="35" t="str">
        <x:v>SYS_OFFC</x:v>
      </x:c>
      <x:c r="D87" s="35" t="str">
        <x:v>SYS_INST</x:v>
      </x:c>
      <x:c r="E87" s="35" t="str"/>
      <x:c r="F87" s="35" t="str">
        <x:v>ADDR</x:v>
      </x:c>
      <x:c r="G87" s="35" t="str">
        <x:v>컬럼 추가</x:v>
      </x:c>
      <x:c r="H87" s="35" t="str">
        <x:v>SYS_INST.ADDR 필드를 Entity/DTO/입력·조회 SQL에 반영하고 기존 데이터 채움 정책 확인; 테이블 참조 SYS_OFFC → SYS_INST 변경</x:v>
      </x:c>
      <x:c r="I87" s="35" t="str">
        <x:v>미착수</x:v>
      </x:c>
      <x:c r="J87" s="35" t="str"/>
      <x:c r="K87" s="36" t="str"/>
      <x:c r="L87" s="35" t="str"/>
    </x:row>
    <x:row r="88">
      <x:c r="A88" s="35" t="n">
        <x:v>84</x:v>
      </x:c>
      <x:c r="B88" s="35" t="str">
        <x:v>P2</x:v>
      </x:c>
      <x:c r="C88" s="35" t="str">
        <x:v>SYS_OFFC</x:v>
      </x:c>
      <x:c r="D88" s="35" t="str">
        <x:v>SYS_INST</x:v>
      </x:c>
      <x:c r="E88" s="35" t="str"/>
      <x:c r="F88" s="35" t="str">
        <x:v>ADDR_DTL</x:v>
      </x:c>
      <x:c r="G88" s="35" t="str">
        <x:v>컬럼 추가</x:v>
      </x:c>
      <x:c r="H88" s="35" t="str">
        <x:v>SYS_INST.ADDR_DTL 필드를 Entity/DTO/입력·조회 SQL에 반영하고 기존 데이터 채움 정책 확인; 테이블 참조 SYS_OFFC → SYS_INST 변경</x:v>
      </x:c>
      <x:c r="I88" s="35" t="str">
        <x:v>미착수</x:v>
      </x:c>
      <x:c r="J88" s="35" t="str"/>
      <x:c r="K88" s="36" t="str"/>
      <x:c r="L88" s="35" t="str"/>
    </x:row>
    <x:row r="89">
      <x:c r="A89" s="35" t="n">
        <x:v>85</x:v>
      </x:c>
      <x:c r="B89" s="35" t="str">
        <x:v>P2</x:v>
      </x:c>
      <x:c r="C89" s="35" t="str">
        <x:v>SYS_OFFC</x:v>
      </x:c>
      <x:c r="D89" s="35" t="str">
        <x:v>SYS_INST</x:v>
      </x:c>
      <x:c r="E89" s="35" t="str"/>
      <x:c r="F89" s="35" t="str">
        <x:v>LAT</x:v>
      </x:c>
      <x:c r="G89" s="35" t="str">
        <x:v>컬럼 추가</x:v>
      </x:c>
      <x:c r="H89" s="35" t="str">
        <x:v>SYS_INST.LAT 필드를 Entity/DTO/입력·조회 SQL에 반영하고 기존 데이터 채움 정책 확인; 테이블 참조 SYS_OFFC → SYS_INST 변경</x:v>
      </x:c>
      <x:c r="I89" s="35" t="str">
        <x:v>미착수</x:v>
      </x:c>
      <x:c r="J89" s="35" t="str"/>
      <x:c r="K89" s="36" t="str"/>
      <x:c r="L89" s="35" t="str"/>
    </x:row>
    <x:row r="90">
      <x:c r="A90" s="35" t="n">
        <x:v>86</x:v>
      </x:c>
      <x:c r="B90" s="35" t="str">
        <x:v>P2</x:v>
      </x:c>
      <x:c r="C90" s="35" t="str">
        <x:v>SYS_OFFC</x:v>
      </x:c>
      <x:c r="D90" s="35" t="str">
        <x:v>SYS_INST</x:v>
      </x:c>
      <x:c r="E90" s="35" t="str"/>
      <x:c r="F90" s="35" t="str">
        <x:v>LOT</x:v>
      </x:c>
      <x:c r="G90" s="35" t="str">
        <x:v>컬럼 추가</x:v>
      </x:c>
      <x:c r="H90" s="35" t="str">
        <x:v>SYS_INST.LOT 필드를 Entity/DTO/입력·조회 SQL에 반영하고 기존 데이터 채움 정책 확인; 테이블 참조 SYS_OFFC → SYS_INST 변경</x:v>
      </x:c>
      <x:c r="I90" s="35" t="str">
        <x:v>미착수</x:v>
      </x:c>
      <x:c r="J90" s="35" t="str"/>
      <x:c r="K90" s="36" t="str"/>
      <x:c r="L90" s="35" t="str"/>
    </x:row>
    <x:row r="91">
      <x:c r="A91" s="35" t="n">
        <x:v>87</x:v>
      </x:c>
      <x:c r="B91" s="35" t="str">
        <x:v>P2</x:v>
      </x:c>
      <x:c r="C91" s="35" t="str">
        <x:v>SYS_OFFC</x:v>
      </x:c>
      <x:c r="D91" s="35" t="str">
        <x:v>SYS_INST</x:v>
      </x:c>
      <x:c r="E91" s="35" t="str"/>
      <x:c r="F91" s="35" t="str">
        <x:v>WGHT_LMT_YN</x:v>
      </x:c>
      <x:c r="G91" s="35" t="str">
        <x:v>컬럼 추가</x:v>
      </x:c>
      <x:c r="H91" s="35" t="str">
        <x:v>SYS_INST.WGHT_LMT_YN 필드를 Entity/DTO/입력·조회 SQL에 반영하고 기존 데이터 채움 정책 확인; 테이블 참조 SYS_OFFC → SYS_INST 변경</x:v>
      </x:c>
      <x:c r="I91" s="35" t="str">
        <x:v>미착수</x:v>
      </x:c>
      <x:c r="J91" s="35" t="str"/>
      <x:c r="K91" s="36" t="str"/>
      <x:c r="L91" s="35" t="str"/>
    </x:row>
    <x:row r="92">
      <x:c r="A92" s="35" t="n">
        <x:v>88</x:v>
      </x:c>
      <x:c r="B92" s="35" t="str">
        <x:v>P2</x:v>
      </x:c>
      <x:c r="C92" s="35" t="str">
        <x:v>SYS_OFFC</x:v>
      </x:c>
      <x:c r="D92" s="35" t="str">
        <x:v>SYS_INST</x:v>
      </x:c>
      <x:c r="E92" s="35" t="str"/>
      <x:c r="F92" s="35" t="str">
        <x:v>PRIVT_YN</x:v>
      </x:c>
      <x:c r="G92" s="35" t="str">
        <x:v>컬럼 추가</x:v>
      </x:c>
      <x:c r="H92" s="35" t="str">
        <x:v>SYS_INST.PRIVT_YN 필드를 Entity/DTO/입력·조회 SQL에 반영하고 기존 데이터 채움 정책 확인; 테이블 참조 SYS_OFFC → SYS_INST 변경</x:v>
      </x:c>
      <x:c r="I92" s="35" t="str">
        <x:v>미착수</x:v>
      </x:c>
      <x:c r="J92" s="35" t="str"/>
      <x:c r="K92" s="36" t="str"/>
      <x:c r="L92" s="35" t="str"/>
    </x:row>
    <x:row r="93">
      <x:c r="A93" s="35" t="n">
        <x:v>89</x:v>
      </x:c>
      <x:c r="B93" s="35" t="str">
        <x:v>P2</x:v>
      </x:c>
      <x:c r="C93" s="35" t="str">
        <x:v>SYS_OFFC</x:v>
      </x:c>
      <x:c r="D93" s="35" t="str">
        <x:v>SYS_INST</x:v>
      </x:c>
      <x:c r="E93" s="35" t="str"/>
      <x:c r="F93" s="35" t="str">
        <x:v>PRMSN_BGNG_YMD</x:v>
      </x:c>
      <x:c r="G93" s="35" t="str">
        <x:v>컬럼 추가</x:v>
      </x:c>
      <x:c r="H93" s="35" t="str">
        <x:v>SYS_INST.PRMSN_BGNG_YMD 필드를 Entity/DTO/입력·조회 SQL에 반영하고 기존 데이터 채움 정책 확인; 테이블 참조 SYS_OFFC → SYS_INST 변경</x:v>
      </x:c>
      <x:c r="I93" s="35" t="str">
        <x:v>미착수</x:v>
      </x:c>
      <x:c r="J93" s="35" t="str"/>
      <x:c r="K93" s="36" t="str"/>
      <x:c r="L93" s="35" t="str"/>
    </x:row>
    <x:row r="94">
      <x:c r="A94" s="35" t="n">
        <x:v>90</x:v>
      </x:c>
      <x:c r="B94" s="35" t="str">
        <x:v>P2</x:v>
      </x:c>
      <x:c r="C94" s="35" t="str">
        <x:v>SYS_OFFC</x:v>
      </x:c>
      <x:c r="D94" s="35" t="str">
        <x:v>SYS_INST</x:v>
      </x:c>
      <x:c r="E94" s="35" t="str"/>
      <x:c r="F94" s="35" t="str">
        <x:v>PRMSN_END_YMD</x:v>
      </x:c>
      <x:c r="G94" s="35" t="str">
        <x:v>컬럼 추가</x:v>
      </x:c>
      <x:c r="H94" s="35" t="str">
        <x:v>SYS_INST.PRMSN_END_YMD 필드를 Entity/DTO/입력·조회 SQL에 반영하고 기존 데이터 채움 정책 확인; 테이블 참조 SYS_OFFC → SYS_INST 변경</x:v>
      </x:c>
      <x:c r="I94" s="35" t="str">
        <x:v>미착수</x:v>
      </x:c>
      <x:c r="J94" s="35" t="str"/>
      <x:c r="K94" s="36" t="str"/>
      <x:c r="L94" s="35" t="str"/>
    </x:row>
    <x:row r="95">
      <x:c r="A95" s="35" t="n">
        <x:v>91</x:v>
      </x:c>
      <x:c r="B95" s="35" t="str">
        <x:v>P2</x:v>
      </x:c>
      <x:c r="C95" s="35" t="str">
        <x:v>SYS_OFFC</x:v>
      </x:c>
      <x:c r="D95" s="35" t="str">
        <x:v>SYS_INST</x:v>
      </x:c>
      <x:c r="E95" s="35" t="str"/>
      <x:c r="F95" s="35" t="str">
        <x:v>USE_YN</x:v>
      </x:c>
      <x:c r="G95" s="35" t="str">
        <x:v>컬럼 추가</x:v>
      </x:c>
      <x:c r="H95" s="35" t="str">
        <x:v>SYS_INST.USE_YN 필드를 Entity/DTO/입력·조회 SQL에 반영하고 기존 데이터 채움 정책 확인; 테이블 참조 SYS_OFFC → SYS_INST 변경</x:v>
      </x:c>
      <x:c r="I95" s="35" t="str">
        <x:v>미착수</x:v>
      </x:c>
      <x:c r="J95" s="35" t="str"/>
      <x:c r="K95" s="36" t="str"/>
      <x:c r="L95" s="35" t="str"/>
    </x:row>
    <x:row r="96">
      <x:c r="A96" s="35" t="n">
        <x:v>92</x:v>
      </x:c>
      <x:c r="B96" s="35" t="str">
        <x:v>P2</x:v>
      </x:c>
      <x:c r="C96" s="35" t="str">
        <x:v>SYS_SITE_CFG</x:v>
      </x:c>
      <x:c r="D96" s="35" t="str">
        <x:v>SYS_SITE_CFG</x:v>
      </x:c>
      <x:c r="E96" s="35" t="str">
        <x:v>SYS_CRT_DT</x:v>
      </x:c>
      <x:c r="F96" s="35" t="str">
        <x:v>SYS_GEN_DT</x:v>
      </x:c>
      <x:c r="G96" s="35" t="str">
        <x:v>이름변경</x:v>
      </x:c>
      <x:c r="H96" s="35" t="str">
        <x:v>SYS_SITE_CFG.SYS_CRT_DT 참조를 SYS_SITE_CFG.SYS_GEN_DT로 변경하고 SQL alias/직렬화 명칭 점검</x:v>
      </x:c>
      <x:c r="I96" s="35" t="str">
        <x:v>미착수</x:v>
      </x:c>
      <x:c r="J96" s="35" t="str"/>
      <x:c r="K96" s="36" t="str"/>
      <x:c r="L96" s="35" t="str"/>
    </x:row>
    <x:row r="97">
      <x:c r="A97" s="35" t="n">
        <x:v>93</x:v>
      </x:c>
      <x:c r="B97" s="35" t="str">
        <x:v>P2</x:v>
      </x:c>
      <x:c r="C97" s="35" t="str">
        <x:v>SYS_SITE_CFG</x:v>
      </x:c>
      <x:c r="D97" s="35" t="str">
        <x:v>SYS_SITE_CFG</x:v>
      </x:c>
      <x:c r="E97" s="35" t="str">
        <x:v>SYS_UPD_DT</x:v>
      </x:c>
      <x:c r="F97" s="35" t="str">
        <x:v>SYS_MDFCN_DT</x:v>
      </x:c>
      <x:c r="G97" s="35" t="str">
        <x:v>이름+정의 변경</x:v>
      </x:c>
      <x:c r="H97" s="35" t="str">
        <x:v>코드 변경 불필요. 회귀 테스트만 수행</x:v>
      </x:c>
      <x:c r="I97" s="35" t="str">
        <x:v>미착수</x:v>
      </x:c>
      <x:c r="J97" s="35" t="str"/>
      <x:c r="K97" s="36" t="str"/>
      <x:c r="L97" s="35" t="str"/>
    </x:row>
    <x:row r="98">
      <x:c r="A98" s="35" t="n">
        <x:v>94</x:v>
      </x:c>
      <x:c r="B98" s="35" t="str">
        <x:v>P2</x:v>
      </x:c>
      <x:c r="C98" s="35" t="str">
        <x:v>SYS_SITE_CFG</x:v>
      </x:c>
      <x:c r="D98" s="35" t="str">
        <x:v>SYS_SITE_CFG</x:v>
      </x:c>
      <x:c r="E98" s="35" t="str">
        <x:v>SYS_UPD_USR_ID</x:v>
      </x:c>
      <x:c r="F98" s="35" t="str">
        <x:v>SYS_MDFR_ID</x:v>
      </x:c>
      <x:c r="G98" s="35" t="str">
        <x:v>이름+정의 변경</x:v>
      </x:c>
      <x:c r="H98" s="35" t="str">
        <x:v>코드 변경 불필요. 회귀 테스트만 수행</x:v>
      </x:c>
      <x:c r="I98" s="35" t="str">
        <x:v>미착수</x:v>
      </x:c>
      <x:c r="J98" s="35" t="str"/>
      <x:c r="K98" s="36" t="str"/>
      <x:c r="L98" s="35" t="str"/>
    </x:row>
    <x:row r="99">
      <x:c r="A99" s="35" t="n">
        <x:v>95</x:v>
      </x:c>
      <x:c r="B99" s="35" t="str">
        <x:v>P2</x:v>
      </x:c>
      <x:c r="C99" s="35" t="str">
        <x:v>SYS_SITE_CFG_GRP</x:v>
      </x:c>
      <x:c r="D99" s="35" t="str">
        <x:v>SYS_SITE_CFG_GRP</x:v>
      </x:c>
      <x:c r="E99" s="35" t="str">
        <x:v>SYS_CRT_DT</x:v>
      </x:c>
      <x:c r="F99" s="35" t="str">
        <x:v>SYS_GEN_DT</x:v>
      </x:c>
      <x:c r="G99" s="35" t="str">
        <x:v>이름변경</x:v>
      </x:c>
      <x:c r="H99" s="35" t="str">
        <x:v>SYS_SITE_CFG_GRP.SYS_CRT_DT 참조를 SYS_SITE_CFG_GRP.SYS_GEN_DT로 변경하고 SQL alias/직렬화 명칭 점검</x:v>
      </x:c>
      <x:c r="I99" s="35" t="str">
        <x:v>미착수</x:v>
      </x:c>
      <x:c r="J99" s="35" t="str"/>
      <x:c r="K99" s="36" t="str"/>
      <x:c r="L99" s="35" t="str"/>
    </x:row>
    <x:row r="100">
      <x:c r="A100" s="35" t="n">
        <x:v>96</x:v>
      </x:c>
      <x:c r="B100" s="35" t="str">
        <x:v>P2</x:v>
      </x:c>
      <x:c r="C100" s="35" t="str">
        <x:v>SYS_SITE_CFG_GRP</x:v>
      </x:c>
      <x:c r="D100" s="35" t="str">
        <x:v>SYS_SITE_CFG_GRP</x:v>
      </x:c>
      <x:c r="E100" s="35" t="str">
        <x:v>SYS_UPD_DT</x:v>
      </x:c>
      <x:c r="F100" s="35" t="str">
        <x:v>SYS_MDFCN_DT</x:v>
      </x:c>
      <x:c r="G100" s="35" t="str">
        <x:v>이름+정의 변경</x:v>
      </x:c>
      <x:c r="H100" s="35" t="str">
        <x:v>코드 변경 불필요. 회귀 테스트만 수행</x:v>
      </x:c>
      <x:c r="I100" s="35" t="str">
        <x:v>미착수</x:v>
      </x:c>
      <x:c r="J100" s="35" t="str"/>
      <x:c r="K100" s="36" t="str"/>
      <x:c r="L100" s="35" t="str"/>
    </x:row>
    <x:row r="101">
      <x:c r="A101" s="35" t="n">
        <x:v>97</x:v>
      </x:c>
      <x:c r="B101" s="35" t="str">
        <x:v>P2</x:v>
      </x:c>
      <x:c r="C101" s="35" t="str">
        <x:v>SYS_SITE_CFG_GRP</x:v>
      </x:c>
      <x:c r="D101" s="35" t="str">
        <x:v>SYS_SITE_CFG_GRP</x:v>
      </x:c>
      <x:c r="E101" s="35" t="str">
        <x:v>SYS_UPD_USR_ID</x:v>
      </x:c>
      <x:c r="F101" s="35" t="str">
        <x:v>SYS_MDFR_ID</x:v>
      </x:c>
      <x:c r="G101" s="35" t="str">
        <x:v>이름+정의 변경</x:v>
      </x:c>
      <x:c r="H101" s="35" t="str">
        <x:v>코드 변경 불필요. 회귀 테스트만 수행</x:v>
      </x:c>
      <x:c r="I101" s="35" t="str">
        <x:v>미착수</x:v>
      </x:c>
      <x:c r="J101" s="35" t="str"/>
      <x:c r="K101" s="36" t="str"/>
      <x:c r="L101" s="35" t="str"/>
    </x:row>
    <x:row r="102">
      <x:c r="A102" s="35" t="n">
        <x:v>98</x:v>
      </x:c>
      <x:c r="B102" s="35" t="str">
        <x:v>P2</x:v>
      </x:c>
      <x:c r="C102" s="35" t="str">
        <x:v>SYS_TOKEN_SEQ</x:v>
      </x:c>
      <x:c r="D102" s="35" t="str">
        <x:v>SYS_TOKEN_SEQ</x:v>
      </x:c>
      <x:c r="E102" s="35" t="str">
        <x:v>NEXT_NOT_CACHED_VALUE</x:v>
      </x:c>
      <x:c r="F102" s="35" t="str">
        <x:v>NXT_NOT_CHCD_VAL</x:v>
      </x:c>
      <x:c r="G102" s="35" t="str">
        <x:v>이름+정의 변경</x:v>
      </x:c>
      <x:c r="H102" s="35" t="str">
        <x:v>코드 변경 불필요. 회귀 테스트만 수행</x:v>
      </x:c>
      <x:c r="I102" s="35" t="str">
        <x:v>미착수</x:v>
      </x:c>
      <x:c r="J102" s="35" t="str"/>
      <x:c r="K102" s="36" t="str"/>
      <x:c r="L102" s="35" t="str"/>
    </x:row>
    <x:row r="103">
      <x:c r="A103" s="35" t="n">
        <x:v>99</x:v>
      </x:c>
      <x:c r="B103" s="35" t="str">
        <x:v>P2</x:v>
      </x:c>
      <x:c r="C103" s="35" t="str">
        <x:v>SYS_TOKEN_SEQ</x:v>
      </x:c>
      <x:c r="D103" s="35" t="str">
        <x:v>SYS_TOKEN_SEQ</x:v>
      </x:c>
      <x:c r="E103" s="35" t="str">
        <x:v>MINIMUM_VALUE</x:v>
      </x:c>
      <x:c r="F103" s="35" t="str">
        <x:v>MIN_VL</x:v>
      </x:c>
      <x:c r="G103" s="35" t="str">
        <x:v>이름+정의 변경</x:v>
      </x:c>
      <x:c r="H103" s="35" t="str">
        <x:v>코드 변경 불필요. 회귀 테스트만 수행</x:v>
      </x:c>
      <x:c r="I103" s="35" t="str">
        <x:v>미착수</x:v>
      </x:c>
      <x:c r="J103" s="35" t="str"/>
      <x:c r="K103" s="36" t="str"/>
      <x:c r="L103" s="35" t="str"/>
    </x:row>
    <x:row r="104">
      <x:c r="A104" s="35" t="n">
        <x:v>100</x:v>
      </x:c>
      <x:c r="B104" s="35" t="str">
        <x:v>P2</x:v>
      </x:c>
      <x:c r="C104" s="35" t="str">
        <x:v>SYS_TOKEN_SEQ</x:v>
      </x:c>
      <x:c r="D104" s="35" t="str">
        <x:v>SYS_TOKEN_SEQ</x:v>
      </x:c>
      <x:c r="E104" s="35" t="str">
        <x:v>MAXIMUM_VALUE</x:v>
      </x:c>
      <x:c r="F104" s="35" t="str">
        <x:v>MAX_VL</x:v>
      </x:c>
      <x:c r="G104" s="35" t="str">
        <x:v>이름+정의 변경</x:v>
      </x:c>
      <x:c r="H104" s="35" t="str">
        <x:v>코드 변경 불필요. 회귀 테스트만 수행</x:v>
      </x:c>
      <x:c r="I104" s="35" t="str">
        <x:v>미착수</x:v>
      </x:c>
      <x:c r="J104" s="35" t="str"/>
      <x:c r="K104" s="36" t="str"/>
      <x:c r="L104" s="35" t="str"/>
    </x:row>
    <x:row r="105">
      <x:c r="A105" s="35" t="n">
        <x:v>101</x:v>
      </x:c>
      <x:c r="B105" s="35" t="str">
        <x:v>P2</x:v>
      </x:c>
      <x:c r="C105" s="35" t="str">
        <x:v>SYS_TOKEN_SEQ</x:v>
      </x:c>
      <x:c r="D105" s="35" t="str">
        <x:v>SYS_TOKEN_SEQ</x:v>
      </x:c>
      <x:c r="E105" s="35" t="str">
        <x:v>START_VALUE</x:v>
      </x:c>
      <x:c r="F105" s="35" t="str">
        <x:v>BGNG_VL</x:v>
      </x:c>
      <x:c r="G105" s="35" t="str">
        <x:v>이름+정의 변경</x:v>
      </x:c>
      <x:c r="H105" s="35" t="str">
        <x:v>코드 변경 불필요. 회귀 테스트만 수행</x:v>
      </x:c>
      <x:c r="I105" s="35" t="str">
        <x:v>미착수</x:v>
      </x:c>
      <x:c r="J105" s="35" t="str"/>
      <x:c r="K105" s="36" t="str"/>
      <x:c r="L105" s="35" t="str"/>
    </x:row>
    <x:row r="106">
      <x:c r="A106" s="35" t="n">
        <x:v>102</x:v>
      </x:c>
      <x:c r="B106" s="35" t="str">
        <x:v>P2</x:v>
      </x:c>
      <x:c r="C106" s="35" t="str">
        <x:v>SYS_TOKEN_SEQ</x:v>
      </x:c>
      <x:c r="D106" s="35" t="str">
        <x:v>SYS_TOKEN_SEQ</x:v>
      </x:c>
      <x:c r="E106" s="35" t="str">
        <x:v>INCREMENT</x:v>
      </x:c>
      <x:c r="F106" s="35" t="str">
        <x:v>INCRS_VL</x:v>
      </x:c>
      <x:c r="G106" s="35" t="str">
        <x:v>이름+정의 변경</x:v>
      </x:c>
      <x:c r="H106" s="35" t="str">
        <x:v>코드 변경 불필요. 회귀 테스트만 수행</x:v>
      </x:c>
      <x:c r="I106" s="35" t="str">
        <x:v>미착수</x:v>
      </x:c>
      <x:c r="J106" s="35" t="str"/>
      <x:c r="K106" s="36" t="str"/>
      <x:c r="L106" s="35" t="str"/>
    </x:row>
    <x:row r="107">
      <x:c r="A107" s="35" t="n">
        <x:v>103</x:v>
      </x:c>
      <x:c r="B107" s="35" t="str">
        <x:v>P2</x:v>
      </x:c>
      <x:c r="C107" s="35" t="str">
        <x:v>SYS_TOKEN_SEQ</x:v>
      </x:c>
      <x:c r="D107" s="35" t="str">
        <x:v>SYS_TOKEN_SEQ</x:v>
      </x:c>
      <x:c r="E107" s="35" t="str">
        <x:v>CACHE_SIZE</x:v>
      </x:c>
      <x:c r="F107" s="35" t="str">
        <x:v>CACHE_SZ</x:v>
      </x:c>
      <x:c r="G107" s="35" t="str">
        <x:v>이름+정의 변경</x:v>
      </x:c>
      <x:c r="H107" s="35" t="str">
        <x:v>코드 변경 불필요. 회귀 테스트만 수행</x:v>
      </x:c>
      <x:c r="I107" s="35" t="str">
        <x:v>미착수</x:v>
      </x:c>
      <x:c r="J107" s="35" t="str"/>
      <x:c r="K107" s="36" t="str"/>
      <x:c r="L107" s="35" t="str"/>
    </x:row>
    <x:row r="108">
      <x:c r="A108" s="35" t="n">
        <x:v>104</x:v>
      </x:c>
      <x:c r="B108" s="35" t="str">
        <x:v>P2</x:v>
      </x:c>
      <x:c r="C108" s="35" t="str">
        <x:v>SYS_TOKEN_SEQ</x:v>
      </x:c>
      <x:c r="D108" s="35" t="str">
        <x:v>SYS_TOKEN_SEQ</x:v>
      </x:c>
      <x:c r="E108" s="35" t="str">
        <x:v>CYCLE_OPTION</x:v>
      </x:c>
      <x:c r="F108" s="35" t="str">
        <x:v>CYCLE_OPT</x:v>
      </x:c>
      <x:c r="G108" s="35" t="str">
        <x:v>이름+정의 변경</x:v>
      </x:c>
      <x:c r="H108" s="35" t="str">
        <x:v>코드 변경 불필요. 회귀 테스트만 수행</x:v>
      </x:c>
      <x:c r="I108" s="35" t="str">
        <x:v>미착수</x:v>
      </x:c>
      <x:c r="J108" s="35" t="str"/>
      <x:c r="K108" s="36" t="str"/>
      <x:c r="L108" s="35" t="str"/>
    </x:row>
    <x:row r="109">
      <x:c r="A109" s="35" t="n">
        <x:v>105</x:v>
      </x:c>
      <x:c r="B109" s="35" t="str">
        <x:v>P1</x:v>
      </x:c>
      <x:c r="C109" s="35" t="str">
        <x:v>SYS_TOKEN_SEQ</x:v>
      </x:c>
      <x:c r="D109" s="35" t="str">
        <x:v>SYS_TOKEN_SEQ</x:v>
      </x:c>
      <x:c r="E109" s="35" t="str">
        <x:v>CYCLE_COUNT</x:v>
      </x:c>
      <x:c r="F109" s="35" t="str"/>
      <x:c r="G109" s="35" t="str">
        <x:v>컬럼 삭제</x:v>
      </x:c>
      <x:c r="H109" s="35" t="str">
        <x:v>데이터 보존 여부 결정 후 SYS_TOKEN_SEQ.CYCLE_COUNT 참조(Entity/DTO/SQL/XML)을 제거 또는 대체</x:v>
      </x:c>
      <x:c r="I109" s="35" t="str">
        <x:v>미착수</x:v>
      </x:c>
      <x:c r="J109" s="35" t="str"/>
      <x:c r="K109" s="36" t="str"/>
      <x:c r="L109" s="35" t="str"/>
    </x:row>
    <x:row r="110">
      <x:c r="A110" s="35" t="n">
        <x:v>106</x:v>
      </x:c>
      <x:c r="B110" s="35" t="str">
        <x:v>P1</x:v>
      </x:c>
      <x:c r="C110" s="35" t="str">
        <x:v>SYS_TOKEN_SEQ</x:v>
      </x:c>
      <x:c r="D110" s="35" t="str">
        <x:v>SYS_TOKEN_SEQ</x:v>
      </x:c>
      <x:c r="E110" s="35" t="str"/>
      <x:c r="F110" s="35" t="str">
        <x:v>CYCLE_CNT</x:v>
      </x:c>
      <x:c r="G110" s="35" t="str">
        <x:v>컬럼 추가</x:v>
      </x:c>
      <x:c r="H110" s="35" t="str">
        <x:v>SYS_TOKEN_SEQ.CYCLE_CNT 필드를 Entity/DTO/입력·조회 SQL에 반영하고 기존 데이터 채움 정책 확인</x:v>
      </x:c>
      <x:c r="I110" s="35" t="str">
        <x:v>미착수</x:v>
      </x:c>
      <x:c r="J110" s="35" t="str"/>
      <x:c r="K110" s="36" t="str"/>
      <x:c r="L110" s="35" t="str"/>
    </x:row>
    <x:row r="111">
      <x:c r="A111" s="35" t="n">
        <x:v>107</x:v>
      </x:c>
      <x:c r="B111" s="35" t="str">
        <x:v>P1</x:v>
      </x:c>
      <x:c r="C111" s="35" t="str">
        <x:v>SYS_USER</x:v>
      </x:c>
      <x:c r="D111" s="35" t="str">
        <x:v>SYS_USER</x:v>
      </x:c>
      <x:c r="E111" s="35" t="str">
        <x:v>ID</x:v>
      </x:c>
      <x:c r="F111" s="35" t="str">
        <x:v>ID</x:v>
      </x:c>
      <x:c r="G111" s="35" t="str">
        <x:v>정의 변경</x:v>
      </x:c>
      <x:c r="H111" s="35" t="str">
        <x:v>SYS_USER.ID의 타입·NULL·기본값·키 정의에 맞춰 스키마와 검증 로직 수정</x:v>
      </x:c>
      <x:c r="I111" s="35" t="str">
        <x:v>미착수</x:v>
      </x:c>
      <x:c r="J111" s="35" t="str"/>
      <x:c r="K111" s="36" t="str"/>
      <x:c r="L111" s="35" t="str"/>
    </x:row>
    <x:row r="112">
      <x:c r="A112" s="35" t="n">
        <x:v>108</x:v>
      </x:c>
      <x:c r="B112" s="35" t="str">
        <x:v>P2</x:v>
      </x:c>
      <x:c r="C112" s="35" t="str">
        <x:v>SYS_USER</x:v>
      </x:c>
      <x:c r="D112" s="35" t="str">
        <x:v>SYS_USER</x:v>
      </x:c>
      <x:c r="E112" s="35" t="str">
        <x:v>EMAIL</x:v>
      </x:c>
      <x:c r="F112" s="35" t="str">
        <x:v>EML</x:v>
      </x:c>
      <x:c r="G112" s="35" t="str">
        <x:v>이름변경</x:v>
      </x:c>
      <x:c r="H112" s="35" t="str">
        <x:v>SYS_USER.EMAIL 참조를 SYS_USER.EML로 변경하고 SQL alias/직렬화 명칭 점검</x:v>
      </x:c>
      <x:c r="I112" s="35" t="str">
        <x:v>미착수</x:v>
      </x:c>
      <x:c r="J112" s="35" t="str"/>
      <x:c r="K112" s="36" t="str"/>
      <x:c r="L112" s="35" t="str"/>
    </x:row>
    <x:row r="113">
      <x:c r="A113" s="35" t="n">
        <x:v>109</x:v>
      </x:c>
      <x:c r="B113" s="35" t="str">
        <x:v>P2</x:v>
      </x:c>
      <x:c r="C113" s="35" t="str">
        <x:v>SYS_USER</x:v>
      </x:c>
      <x:c r="D113" s="35" t="str">
        <x:v>SYS_USER</x:v>
      </x:c>
      <x:c r="E113" s="35" t="str">
        <x:v>PWD</x:v>
      </x:c>
      <x:c r="F113" s="35" t="str">
        <x:v>PSWD</x:v>
      </x:c>
      <x:c r="G113" s="35" t="str">
        <x:v>이름변경</x:v>
      </x:c>
      <x:c r="H113" s="35" t="str">
        <x:v>SYS_USER.PWD 참조를 SYS_USER.PSWD로 변경하고 SQL alias/직렬화 명칭 점검</x:v>
      </x:c>
      <x:c r="I113" s="35" t="str">
        <x:v>미착수</x:v>
      </x:c>
      <x:c r="J113" s="35" t="str"/>
      <x:c r="K113" s="36" t="str"/>
      <x:c r="L113" s="35" t="str"/>
    </x:row>
    <x:row r="114">
      <x:c r="A114" s="35" t="n">
        <x:v>110</x:v>
      </x:c>
      <x:c r="B114" s="35" t="str">
        <x:v>P2</x:v>
      </x:c>
      <x:c r="C114" s="35" t="str">
        <x:v>SYS_USER</x:v>
      </x:c>
      <x:c r="D114" s="35" t="str">
        <x:v>SYS_USER</x:v>
      </x:c>
      <x:c r="E114" s="35" t="str">
        <x:v>OFFC_CD</x:v>
      </x:c>
      <x:c r="F114" s="35" t="str">
        <x:v>INST_CD</x:v>
      </x:c>
      <x:c r="G114" s="35" t="str">
        <x:v>이름변경</x:v>
      </x:c>
      <x:c r="H114" s="35" t="str">
        <x:v>SYS_USER.OFFC_CD 참조를 SYS_USER.INST_CD로 변경하고 SQL alias/직렬화 명칭 점검</x:v>
      </x:c>
      <x:c r="I114" s="35" t="str">
        <x:v>미착수</x:v>
      </x:c>
      <x:c r="J114" s="35" t="str"/>
      <x:c r="K114" s="36" t="str"/>
      <x:c r="L114" s="35" t="str"/>
    </x:row>
    <x:row r="115">
      <x:c r="A115" s="35" t="n">
        <x:v>111</x:v>
      </x:c>
      <x:c r="B115" s="35" t="str">
        <x:v>P2</x:v>
      </x:c>
      <x:c r="C115" s="35" t="str">
        <x:v>SYS_USER</x:v>
      </x:c>
      <x:c r="D115" s="35" t="str">
        <x:v>SYS_USER</x:v>
      </x:c>
      <x:c r="E115" s="35" t="str">
        <x:v>SYS_CRT_DT</x:v>
      </x:c>
      <x:c r="F115" s="35" t="str">
        <x:v>SYS_GEN_DT</x:v>
      </x:c>
      <x:c r="G115" s="35" t="str">
        <x:v>이름변경</x:v>
      </x:c>
      <x:c r="H115" s="35" t="str">
        <x:v>SYS_USER.SYS_CRT_DT 참조를 SYS_USER.SYS_GEN_DT로 변경하고 SQL alias/직렬화 명칭 점검</x:v>
      </x:c>
      <x:c r="I115" s="35" t="str">
        <x:v>미착수</x:v>
      </x:c>
      <x:c r="J115" s="35" t="str"/>
      <x:c r="K115" s="36" t="str"/>
      <x:c r="L115" s="35" t="str"/>
    </x:row>
    <x:row r="116">
      <x:c r="A116" s="35" t="n">
        <x:v>112</x:v>
      </x:c>
      <x:c r="B116" s="35" t="str">
        <x:v>P2</x:v>
      </x:c>
      <x:c r="C116" s="35" t="str">
        <x:v>SYS_USER</x:v>
      </x:c>
      <x:c r="D116" s="35" t="str">
        <x:v>SYS_USER</x:v>
      </x:c>
      <x:c r="E116" s="35" t="str">
        <x:v>SYS_UPD_USR_ID</x:v>
      </x:c>
      <x:c r="F116" s="35" t="str">
        <x:v>SYS_MDFR_ID</x:v>
      </x:c>
      <x:c r="G116" s="35" t="str">
        <x:v>이름+정의 변경</x:v>
      </x:c>
      <x:c r="H116" s="35" t="str">
        <x:v>코드 변경 불필요. 회귀 테스트만 수행</x:v>
      </x:c>
      <x:c r="I116" s="35" t="str">
        <x:v>미착수</x:v>
      </x:c>
      <x:c r="J116" s="35" t="str"/>
      <x:c r="K116" s="36" t="str"/>
      <x:c r="L116" s="35" t="str"/>
    </x:row>
    <x:row r="117">
      <x:c r="A117" s="35" t="n">
        <x:v>113</x:v>
      </x:c>
      <x:c r="B117" s="35" t="str">
        <x:v>P2</x:v>
      </x:c>
      <x:c r="C117" s="35" t="str">
        <x:v>SYS_USER</x:v>
      </x:c>
      <x:c r="D117" s="35" t="str">
        <x:v>SYS_USER</x:v>
      </x:c>
      <x:c r="E117" s="35" t="str">
        <x:v>SYS_UPD_DT</x:v>
      </x:c>
      <x:c r="F117" s="35" t="str">
        <x:v>SYS_MDFCN_DT</x:v>
      </x:c>
      <x:c r="G117" s="35" t="str">
        <x:v>이름변경</x:v>
      </x:c>
      <x:c r="H117" s="35" t="str">
        <x:v>SYS_USER.SYS_UPD_DT 참조를 SYS_USER.SYS_MDFCN_DT로 변경하고 SQL alias/직렬화 명칭 점검</x:v>
      </x:c>
      <x:c r="I117" s="35" t="str">
        <x:v>미착수</x:v>
      </x:c>
      <x:c r="J117" s="35" t="str"/>
      <x:c r="K117" s="36" t="str"/>
      <x:c r="L117" s="35" t="str"/>
    </x:row>
    <x:row r="118">
      <x:c r="A118" s="35" t="n">
        <x:v>114</x:v>
      </x:c>
      <x:c r="B118" s="35" t="str">
        <x:v>P2</x:v>
      </x:c>
      <x:c r="C118" s="35" t="str">
        <x:v>SYS_USER</x:v>
      </x:c>
      <x:c r="D118" s="35" t="str">
        <x:v>SYS_USER</x:v>
      </x:c>
      <x:c r="E118" s="35" t="str">
        <x:v>USER_NM</x:v>
      </x:c>
      <x:c r="F118" s="35" t="str">
        <x:v>FNM</x:v>
      </x:c>
      <x:c r="G118" s="35" t="str">
        <x:v>이름변경</x:v>
      </x:c>
      <x:c r="H118" s="35" t="str">
        <x:v>SYS_USER.USER_NM 참조를 SYS_USER.FNM로 변경하고 SQL alias/직렬화 명칭 점검</x:v>
      </x:c>
      <x:c r="I118" s="35" t="str">
        <x:v>미착수</x:v>
      </x:c>
      <x:c r="J118" s="35" t="str"/>
      <x:c r="K118" s="36" t="str"/>
      <x:c r="L118" s="35" t="str"/>
    </x:row>
    <x:row r="119">
      <x:c r="A119" s="35" t="n">
        <x:v>115</x:v>
      </x:c>
      <x:c r="B119" s="35" t="str">
        <x:v>P2</x:v>
      </x:c>
      <x:c r="C119" s="35" t="str">
        <x:v>SYS_USER</x:v>
      </x:c>
      <x:c r="D119" s="35" t="str">
        <x:v>SYS_USER</x:v>
      </x:c>
      <x:c r="E119" s="35" t="str">
        <x:v>TEL</x:v>
      </x:c>
      <x:c r="F119" s="35" t="str">
        <x:v>TELNO</x:v>
      </x:c>
      <x:c r="G119" s="35" t="str">
        <x:v>이름+정의 변경</x:v>
      </x:c>
      <x:c r="H119" s="35" t="str">
        <x:v>코드 변경 불필요. 회귀 테스트만 수행</x:v>
      </x:c>
      <x:c r="I119" s="35" t="str">
        <x:v>미착수</x:v>
      </x:c>
      <x:c r="J119" s="35" t="str"/>
      <x:c r="K119" s="36" t="str"/>
      <x:c r="L119" s="35" t="str"/>
    </x:row>
    <x:row r="120">
      <x:c r="A120" s="35" t="n">
        <x:v>116</x:v>
      </x:c>
      <x:c r="B120" s="35" t="str">
        <x:v>P2</x:v>
      </x:c>
      <x:c r="C120" s="35" t="str">
        <x:v>SYS_USER</x:v>
      </x:c>
      <x:c r="D120" s="35" t="str">
        <x:v>SYS_USER</x:v>
      </x:c>
      <x:c r="E120" s="35" t="str"/>
      <x:c r="F120" s="35" t="str">
        <x:v>FAM_NM</x:v>
      </x:c>
      <x:c r="G120" s="35" t="str">
        <x:v>컬럼 추가</x:v>
      </x:c>
      <x:c r="H120" s="35" t="str">
        <x:v>SYS_USER.FAM_NM 필드를 Entity/DTO/입력·조회 SQL에 반영하고 기존 데이터 채움 정책 확인</x:v>
      </x:c>
      <x:c r="I120" s="35" t="str">
        <x:v>미착수</x:v>
      </x:c>
      <x:c r="J120" s="35" t="str"/>
      <x:c r="K120" s="36" t="str"/>
      <x:c r="L120" s="35" t="str"/>
    </x:row>
    <x:row r="121">
      <x:c r="A121" s="35" t="n">
        <x:v>117</x:v>
      </x:c>
      <x:c r="B121" s="35" t="str">
        <x:v>P2</x:v>
      </x:c>
      <x:c r="C121" s="35" t="str">
        <x:v>SYS_USER</x:v>
      </x:c>
      <x:c r="D121" s="35" t="str">
        <x:v>SYS_USER</x:v>
      </x:c>
      <x:c r="E121" s="35" t="str"/>
      <x:c r="F121" s="35" t="str">
        <x:v>LNM</x:v>
      </x:c>
      <x:c r="G121" s="35" t="str">
        <x:v>컬럼 추가</x:v>
      </x:c>
      <x:c r="H121" s="35" t="str">
        <x:v>SYS_USER.LNM 필드를 Entity/DTO/입력·조회 SQL에 반영하고 기존 데이터 채움 정책 확인</x:v>
      </x:c>
      <x:c r="I121" s="35" t="str">
        <x:v>미착수</x:v>
      </x:c>
      <x:c r="J121" s="35" t="str"/>
      <x:c r="K121" s="36" t="str"/>
      <x:c r="L121" s="35" t="str"/>
    </x:row>
    <x:row r="122">
      <x:c r="A122" s="35" t="n">
        <x:v>118</x:v>
      </x:c>
      <x:c r="B122" s="35" t="str">
        <x:v>P2</x:v>
      </x:c>
      <x:c r="C122" s="35" t="str">
        <x:v>SYS_USER</x:v>
      </x:c>
      <x:c r="D122" s="35" t="str">
        <x:v>SYS_USER</x:v>
      </x:c>
      <x:c r="E122" s="35" t="str"/>
      <x:c r="F122" s="35" t="str">
        <x:v>TRSF_LGN_DT</x:v>
      </x:c>
      <x:c r="G122" s="35" t="str">
        <x:v>컬럼 추가</x:v>
      </x:c>
      <x:c r="H122" s="35" t="str">
        <x:v>SYS_USER.TRSF_LGN_DT 필드를 Entity/DTO/입력·조회 SQL에 반영하고 기존 데이터 채움 정책 확인</x:v>
      </x:c>
      <x:c r="I122" s="35" t="str">
        <x:v>미착수</x:v>
      </x:c>
      <x:c r="J122" s="35" t="str"/>
      <x:c r="K122" s="36" t="str"/>
      <x:c r="L122" s="35" t="str"/>
    </x:row>
    <x:row r="123">
      <x:c r="A123" s="35" t="n">
        <x:v>119</x:v>
      </x:c>
      <x:c r="B123" s="35" t="str">
        <x:v>P2</x:v>
      </x:c>
      <x:c r="C123" s="35" t="str">
        <x:v>SYS_USER</x:v>
      </x:c>
      <x:c r="D123" s="35" t="str">
        <x:v>SYS_USER</x:v>
      </x:c>
      <x:c r="E123" s="35" t="str"/>
      <x:c r="F123" s="35" t="str">
        <x:v>RCNT_LGN_DT</x:v>
      </x:c>
      <x:c r="G123" s="35" t="str">
        <x:v>컬럼 추가</x:v>
      </x:c>
      <x:c r="H123" s="35" t="str">
        <x:v>SYS_USER.RCNT_LGN_DT 필드를 Entity/DTO/입력·조회 SQL에 반영하고 기존 데이터 채움 정책 확인</x:v>
      </x:c>
      <x:c r="I123" s="35" t="str">
        <x:v>미착수</x:v>
      </x:c>
      <x:c r="J123" s="35" t="str"/>
      <x:c r="K123" s="36" t="str"/>
      <x:c r="L123" s="35" t="str"/>
    </x:row>
    <x:row r="124">
      <x:c r="A124" s="35" t="n">
        <x:v>120</x:v>
      </x:c>
      <x:c r="B124" s="35" t="str">
        <x:v>P2</x:v>
      </x:c>
      <x:c r="C124" s="35" t="str">
        <x:v>SYS_USER</x:v>
      </x:c>
      <x:c r="D124" s="35" t="str">
        <x:v>SYS_USER</x:v>
      </x:c>
      <x:c r="E124" s="35" t="str"/>
      <x:c r="F124" s="35" t="str">
        <x:v>PSWD_EXPRY_DT</x:v>
      </x:c>
      <x:c r="G124" s="35" t="str">
        <x:v>컬럼 추가</x:v>
      </x:c>
      <x:c r="H124" s="35" t="str">
        <x:v>SYS_USER.PSWD_EXPRY_DT 필드를 Entity/DTO/입력·조회 SQL에 반영하고 기존 데이터 채움 정책 확인</x:v>
      </x:c>
      <x:c r="I124" s="35" t="str">
        <x:v>미착수</x:v>
      </x:c>
      <x:c r="J124" s="35" t="str"/>
      <x:c r="K124" s="36" t="str"/>
      <x:c r="L124" s="35" t="str"/>
    </x:row>
    <x:row r="125">
      <x:c r="A125" s="35" t="n">
        <x:v>121</x:v>
      </x:c>
      <x:c r="B125" s="35" t="str">
        <x:v>P1</x:v>
      </x:c>
      <x:c r="C125" s="35" t="str">
        <x:v>SYS_TOKEN</x:v>
      </x:c>
      <x:c r="D125" s="35" t="str">
        <x:v>SYS_TOKEN</x:v>
      </x:c>
      <x:c r="E125" s="35" t="str">
        <x:v>ID</x:v>
      </x:c>
      <x:c r="F125" s="35" t="str">
        <x:v>ID</x:v>
      </x:c>
      <x:c r="G125" s="35" t="str">
        <x:v>정의 변경</x:v>
      </x:c>
      <x:c r="H125" s="35" t="str">
        <x:v>SYS_TOKEN.ID의 타입·NULL·기본값·키 정의에 맞춰 스키마와 검증 로직 수정</x:v>
      </x:c>
      <x:c r="I125" s="35" t="str">
        <x:v>미착수</x:v>
      </x:c>
      <x:c r="J125" s="35" t="str"/>
      <x:c r="K125" s="36" t="str"/>
      <x:c r="L125" s="35" t="str"/>
    </x:row>
    <x:row r="126">
      <x:c r="A126" s="35" t="n">
        <x:v>122</x:v>
      </x:c>
      <x:c r="B126" s="35" t="str">
        <x:v>P2</x:v>
      </x:c>
      <x:c r="C126" s="35" t="str">
        <x:v>SYS_TOKEN</x:v>
      </x:c>
      <x:c r="D126" s="35" t="str">
        <x:v>SYS_TOKEN</x:v>
      </x:c>
      <x:c r="E126" s="35" t="str">
        <x:v>EXP</x:v>
      </x:c>
      <x:c r="F126" s="35" t="str">
        <x:v>EXPRY_YN</x:v>
      </x:c>
      <x:c r="G126" s="35" t="str">
        <x:v>이름+정의 변경</x:v>
      </x:c>
      <x:c r="H126" s="35" t="str">
        <x:v>코드 변경 불필요. 회귀 테스트만 수행</x:v>
      </x:c>
      <x:c r="I126" s="35" t="str">
        <x:v>미착수</x:v>
      </x:c>
      <x:c r="J126" s="35" t="str"/>
      <x:c r="K126" s="36" t="str"/>
      <x:c r="L126" s="35" t="str"/>
    </x:row>
    <x:row r="127">
      <x:c r="A127" s="35" t="n">
        <x:v>123</x:v>
      </x:c>
      <x:c r="B127" s="35" t="str">
        <x:v>P2</x:v>
      </x:c>
      <x:c r="C127" s="35" t="str">
        <x:v>SYS_TOKEN</x:v>
      </x:c>
      <x:c r="D127" s="35" t="str">
        <x:v>SYS_TOKEN</x:v>
      </x:c>
      <x:c r="E127" s="35" t="str">
        <x:v>REVOK</x:v>
      </x:c>
      <x:c r="F127" s="35" t="str">
        <x:v>DSCD_YN</x:v>
      </x:c>
      <x:c r="G127" s="35" t="str">
        <x:v>이름+정의 변경</x:v>
      </x:c>
      <x:c r="H127" s="35" t="str">
        <x:v>코드 변경 불필요. 회귀 테스트만 수행</x:v>
      </x:c>
      <x:c r="I127" s="35" t="str">
        <x:v>미착수</x:v>
      </x:c>
      <x:c r="J127" s="35" t="str"/>
      <x:c r="K127" s="36" t="str"/>
      <x:c r="L127" s="35" t="str"/>
    </x:row>
    <x:row r="128">
      <x:c r="A128" s="35" t="n">
        <x:v>124</x:v>
      </x:c>
      <x:c r="B128" s="35" t="str">
        <x:v>P2</x:v>
      </x:c>
      <x:c r="C128" s="35" t="str">
        <x:v>SYS_TOKEN</x:v>
      </x:c>
      <x:c r="D128" s="35" t="str">
        <x:v>SYS_TOKEN</x:v>
      </x:c>
      <x:c r="E128" s="35" t="str">
        <x:v>TOKEN</x:v>
      </x:c>
      <x:c r="F128" s="35" t="str">
        <x:v>TOKEN_VL</x:v>
      </x:c>
      <x:c r="G128" s="35" t="str">
        <x:v>이름변경</x:v>
      </x:c>
      <x:c r="H128" s="35" t="str">
        <x:v>SYS_TOKEN.TOKEN 참조를 SYS_TOKEN.TOKEN_VL로 변경하고 SQL alias/직렬화 명칭 점검</x:v>
      </x:c>
      <x:c r="I128" s="35" t="str">
        <x:v>미착수</x:v>
      </x:c>
      <x:c r="J128" s="35" t="str"/>
      <x:c r="K128" s="36" t="str"/>
      <x:c r="L128" s="35" t="str"/>
    </x:row>
    <x:row r="129">
      <x:c r="A129" s="35" t="n">
        <x:v>125</x:v>
      </x:c>
      <x:c r="B129" s="35" t="str">
        <x:v>P1</x:v>
      </x:c>
      <x:c r="C129" s="35" t="str">
        <x:v>SYS_USER_GRP</x:v>
      </x:c>
      <x:c r="D129" s="35" t="str">
        <x:v>SYS_USER_GRP</x:v>
      </x:c>
      <x:c r="E129" s="35" t="str">
        <x:v>USER_EMAIL</x:v>
      </x:c>
      <x:c r="F129" s="35" t="str">
        <x:v>USER_UP_GRP_ID</x:v>
      </x:c>
      <x:c r="G129" s="35" t="str">
        <x:v>이름변경</x:v>
      </x:c>
      <x:c r="H129" s="35" t="str">
        <x:v>SYS_USER_GRP.USER_EMAIL 참조를 SYS_USER_GRP.USER_UP_GRP_ID로 변경하고 SQL alias/직렬화 명칭 점검</x:v>
      </x:c>
      <x:c r="I129" s="35" t="str">
        <x:v>미착수</x:v>
      </x:c>
      <x:c r="J129" s="35" t="str"/>
      <x:c r="K129" s="36" t="str"/>
      <x:c r="L129" s="35" t="str">
        <x:v>업무 의미가 달라 보이므로 설계자 확인 필요</x:v>
      </x:c>
    </x:row>
    <x:row r="130">
      <x:c r="A130" s="35" t="n">
        <x:v>126</x:v>
      </x:c>
      <x:c r="B130" s="35" t="str">
        <x:v>P2</x:v>
      </x:c>
      <x:c r="C130" s="35" t="str">
        <x:v>SYS_USER_GRP</x:v>
      </x:c>
      <x:c r="D130" s="35" t="str">
        <x:v>SYS_USER_GRP</x:v>
      </x:c>
      <x:c r="E130" s="35" t="str">
        <x:v>OFFC_CD</x:v>
      </x:c>
      <x:c r="F130" s="35" t="str">
        <x:v>INST_CD</x:v>
      </x:c>
      <x:c r="G130" s="35" t="str">
        <x:v>이름변경</x:v>
      </x:c>
      <x:c r="H130" s="35" t="str">
        <x:v>SYS_USER_GRP.OFFC_CD 참조를 SYS_USER_GRP.INST_CD로 변경하고 SQL alias/직렬화 명칭 점검</x:v>
      </x:c>
      <x:c r="I130" s="35" t="str">
        <x:v>미착수</x:v>
      </x:c>
      <x:c r="J130" s="35" t="str"/>
      <x:c r="K130" s="36" t="str"/>
      <x:c r="L130" s="35" t="str"/>
    </x:row>
    <x:row r="131">
      <x:c r="A131" s="35" t="n">
        <x:v>127</x:v>
      </x:c>
      <x:c r="B131" s="35" t="str">
        <x:v>P2</x:v>
      </x:c>
      <x:c r="C131" s="35" t="str">
        <x:v>SYS_USER_GRP</x:v>
      </x:c>
      <x:c r="D131" s="35" t="str">
        <x:v>SYS_USER_GRP</x:v>
      </x:c>
      <x:c r="E131" s="35" t="str">
        <x:v>SYS_CRT_DT</x:v>
      </x:c>
      <x:c r="F131" s="35" t="str">
        <x:v>SYS_GEN_DT</x:v>
      </x:c>
      <x:c r="G131" s="35" t="str">
        <x:v>이름변경</x:v>
      </x:c>
      <x:c r="H131" s="35" t="str">
        <x:v>SYS_USER_GRP.SYS_CRT_DT 참조를 SYS_USER_GRP.SYS_GEN_DT로 변경하고 SQL alias/직렬화 명칭 점검</x:v>
      </x:c>
      <x:c r="I131" s="35" t="str">
        <x:v>미착수</x:v>
      </x:c>
      <x:c r="J131" s="35" t="str"/>
      <x:c r="K131" s="36" t="str"/>
      <x:c r="L131" s="35" t="str"/>
    </x:row>
    <x:row r="132">
      <x:c r="A132" s="35" t="n">
        <x:v>128</x:v>
      </x:c>
      <x:c r="B132" s="35" t="str">
        <x:v>P2</x:v>
      </x:c>
      <x:c r="C132" s="35" t="str">
        <x:v>SYS_USER_GRP</x:v>
      </x:c>
      <x:c r="D132" s="35" t="str">
        <x:v>SYS_USER_GRP</x:v>
      </x:c>
      <x:c r="E132" s="35" t="str">
        <x:v>SYS_UPD_DT</x:v>
      </x:c>
      <x:c r="F132" s="35" t="str">
        <x:v>SYS_MDFCN_DT</x:v>
      </x:c>
      <x:c r="G132" s="35" t="str">
        <x:v>이름변경</x:v>
      </x:c>
      <x:c r="H132" s="35" t="str">
        <x:v>SYS_USER_GRP.SYS_UPD_DT 참조를 SYS_USER_GRP.SYS_MDFCN_DT로 변경하고 SQL alias/직렬화 명칭 점검</x:v>
      </x:c>
      <x:c r="I132" s="35" t="str">
        <x:v>미착수</x:v>
      </x:c>
      <x:c r="J132" s="35" t="str"/>
      <x:c r="K132" s="36" t="str"/>
      <x:c r="L132" s="35" t="str"/>
    </x:row>
    <x:row r="133">
      <x:c r="A133" s="35" t="n">
        <x:v>129</x:v>
      </x:c>
      <x:c r="B133" s="35" t="str">
        <x:v>P2</x:v>
      </x:c>
      <x:c r="C133" s="35" t="str">
        <x:v>SYS_USER_GRP</x:v>
      </x:c>
      <x:c r="D133" s="35" t="str">
        <x:v>SYS_USER_GRP</x:v>
      </x:c>
      <x:c r="E133" s="35" t="str">
        <x:v>SYS_UPD_USR_ID</x:v>
      </x:c>
      <x:c r="F133" s="35" t="str">
        <x:v>SYS_MDFR_ID</x:v>
      </x:c>
      <x:c r="G133" s="35" t="str">
        <x:v>이름+정의 변경</x:v>
      </x:c>
      <x:c r="H133" s="35" t="str">
        <x:v>코드 변경 불필요. 회귀 테스트만 수행</x:v>
      </x:c>
      <x:c r="I133" s="35" t="str">
        <x:v>미착수</x:v>
      </x:c>
      <x:c r="J133" s="35" t="str"/>
      <x:c r="K133" s="36" t="str"/>
      <x:c r="L133" s="35" t="str"/>
    </x:row>
    <x:row r="134">
      <x:c r="A134" s="35" t="n">
        <x:v>130</x:v>
      </x:c>
      <x:c r="B134" s="35" t="str">
        <x:v>P2</x:v>
      </x:c>
      <x:c r="C134" s="35" t="str"/>
      <x:c r="D134" s="35" t="str">
        <x:v>SYS_ACHV_STNG</x:v>
      </x:c>
      <x:c r="E134" s="35" t="str"/>
      <x:c r="F134" s="35" t="str">
        <x:v>ID</x:v>
      </x:c>
      <x:c r="G134" s="35" t="str">
        <x:v>컬럼 추가</x:v>
      </x:c>
      <x:c r="H134" s="35" t="str">
        <x:v>SYS_ACHV_STNG.ID 필드를 Entity/DTO/입력·조회 SQL에 반영하고 기존 데이터 채움 정책 확인</x:v>
      </x:c>
      <x:c r="I134" s="35" t="str">
        <x:v>미착수</x:v>
      </x:c>
      <x:c r="J134" s="35" t="str"/>
      <x:c r="K134" s="36" t="str"/>
      <x:c r="L134" s="35" t="str"/>
    </x:row>
    <x:row r="135">
      <x:c r="A135" s="35" t="n">
        <x:v>131</x:v>
      </x:c>
      <x:c r="B135" s="35" t="str">
        <x:v>P2</x:v>
      </x:c>
      <x:c r="C135" s="35" t="str"/>
      <x:c r="D135" s="35" t="str">
        <x:v>SYS_ACHV_STNG</x:v>
      </x:c>
      <x:c r="E135" s="35" t="str"/>
      <x:c r="F135" s="35" t="str">
        <x:v>AIMAG_CD</x:v>
      </x:c>
      <x:c r="G135" s="35" t="str">
        <x:v>컬럼 추가</x:v>
      </x:c>
      <x:c r="H135" s="35" t="str">
        <x:v>SYS_ACHV_STNG.AIMAG_CD 필드를 Entity/DTO/입력·조회 SQL에 반영하고 기존 데이터 채움 정책 확인</x:v>
      </x:c>
      <x:c r="I135" s="35" t="str">
        <x:v>미착수</x:v>
      </x:c>
      <x:c r="J135" s="35" t="str"/>
      <x:c r="K135" s="36" t="str"/>
      <x:c r="L135" s="35" t="str"/>
    </x:row>
    <x:row r="136">
      <x:c r="A136" s="35" t="n">
        <x:v>132</x:v>
      </x:c>
      <x:c r="B136" s="35" t="str">
        <x:v>P2</x:v>
      </x:c>
      <x:c r="C136" s="35" t="str"/>
      <x:c r="D136" s="35" t="str">
        <x:v>SYS_ACHV_STNG</x:v>
      </x:c>
      <x:c r="E136" s="35" t="str"/>
      <x:c r="F136" s="35" t="str">
        <x:v>INST_CD</x:v>
      </x:c>
      <x:c r="G136" s="35" t="str">
        <x:v>컬럼 추가</x:v>
      </x:c>
      <x:c r="H136" s="35" t="str">
        <x:v>SYS_ACHV_STNG.INST_CD 필드를 Entity/DTO/입력·조회 SQL에 반영하고 기존 데이터 채움 정책 확인</x:v>
      </x:c>
      <x:c r="I136" s="35" t="str">
        <x:v>미착수</x:v>
      </x:c>
      <x:c r="J136" s="35" t="str"/>
      <x:c r="K136" s="36" t="str"/>
      <x:c r="L136" s="35" t="str"/>
    </x:row>
    <x:row r="137">
      <x:c r="A137" s="35" t="n">
        <x:v>133</x:v>
      </x:c>
      <x:c r="B137" s="35" t="str">
        <x:v>P2</x:v>
      </x:c>
      <x:c r="C137" s="35" t="str"/>
      <x:c r="D137" s="35" t="str">
        <x:v>SYS_ACHV_STNG</x:v>
      </x:c>
      <x:c r="E137" s="35" t="str"/>
      <x:c r="F137" s="35" t="str">
        <x:v>ARCHV_NM</x:v>
      </x:c>
      <x:c r="G137" s="35" t="str">
        <x:v>컬럼 추가</x:v>
      </x:c>
      <x:c r="H137" s="35" t="str">
        <x:v>SYS_ACHV_STNG.ARCHV_NM 필드를 Entity/DTO/입력·조회 SQL에 반영하고 기존 데이터 채움 정책 확인</x:v>
      </x:c>
      <x:c r="I137" s="35" t="str">
        <x:v>미착수</x:v>
      </x:c>
      <x:c r="J137" s="35" t="str"/>
      <x:c r="K137" s="36" t="str"/>
      <x:c r="L137" s="35" t="str"/>
    </x:row>
    <x:row r="138">
      <x:c r="A138" s="35" t="n">
        <x:v>134</x:v>
      </x:c>
      <x:c r="B138" s="35" t="str">
        <x:v>P2</x:v>
      </x:c>
      <x:c r="C138" s="35" t="str"/>
      <x:c r="D138" s="35" t="str">
        <x:v>SYS_ACHV_STNG</x:v>
      </x:c>
      <x:c r="E138" s="35" t="str"/>
      <x:c r="F138" s="35" t="str">
        <x:v>ABBR</x:v>
      </x:c>
      <x:c r="G138" s="35" t="str">
        <x:v>컬럼 추가</x:v>
      </x:c>
      <x:c r="H138" s="35" t="str">
        <x:v>SYS_ACHV_STNG.ABBR 필드를 Entity/DTO/입력·조회 SQL에 반영하고 기존 데이터 채움 정책 확인</x:v>
      </x:c>
      <x:c r="I138" s="35" t="str">
        <x:v>미착수</x:v>
      </x:c>
      <x:c r="J138" s="35" t="str"/>
      <x:c r="K138" s="36" t="str"/>
      <x:c r="L138" s="35" t="str"/>
    </x:row>
    <x:row r="139">
      <x:c r="A139" s="35" t="n">
        <x:v>135</x:v>
      </x:c>
      <x:c r="B139" s="35" t="str">
        <x:v>P2</x:v>
      </x:c>
      <x:c r="C139" s="35" t="str"/>
      <x:c r="D139" s="35" t="str">
        <x:v>SYS_ACHV_STNG</x:v>
      </x:c>
      <x:c r="E139" s="35" t="str"/>
      <x:c r="F139" s="35" t="str">
        <x:v>USE_YN</x:v>
      </x:c>
      <x:c r="G139" s="35" t="str">
        <x:v>컬럼 추가</x:v>
      </x:c>
      <x:c r="H139" s="35" t="str">
        <x:v>SYS_ACHV_STNG.USE_YN 필드를 Entity/DTO/입력·조회 SQL에 반영하고 기존 데이터 채움 정책 확인</x:v>
      </x:c>
      <x:c r="I139" s="35" t="str">
        <x:v>미착수</x:v>
      </x:c>
      <x:c r="J139" s="35" t="str"/>
      <x:c r="K139" s="36" t="str"/>
      <x:c r="L139" s="35" t="str"/>
    </x:row>
    <x:row r="140">
      <x:c r="A140" s="35" t="n">
        <x:v>136</x:v>
      </x:c>
      <x:c r="B140" s="35" t="str">
        <x:v>P2</x:v>
      </x:c>
      <x:c r="C140" s="35" t="str"/>
      <x:c r="D140" s="35" t="str">
        <x:v>SYS_ACHV_STNG</x:v>
      </x:c>
      <x:c r="E140" s="35" t="str"/>
      <x:c r="F140" s="35" t="str">
        <x:v>RGTR_ID</x:v>
      </x:c>
      <x:c r="G140" s="35" t="str">
        <x:v>컬럼 추가</x:v>
      </x:c>
      <x:c r="H140" s="35" t="str">
        <x:v>SYS_ACHV_STNG.RGTR_ID 필드를 Entity/DTO/입력·조회 SQL에 반영하고 기존 데이터 채움 정책 확인</x:v>
      </x:c>
      <x:c r="I140" s="35" t="str">
        <x:v>미착수</x:v>
      </x:c>
      <x:c r="J140" s="35" t="str"/>
      <x:c r="K140" s="36" t="str"/>
      <x:c r="L140" s="35" t="str"/>
    </x:row>
    <x:row r="141">
      <x:c r="A141" s="35" t="n">
        <x:v>137</x:v>
      </x:c>
      <x:c r="B141" s="35" t="str">
        <x:v>P2</x:v>
      </x:c>
      <x:c r="C141" s="35" t="str"/>
      <x:c r="D141" s="35" t="str">
        <x:v>SYS_ACHV_STNG</x:v>
      </x:c>
      <x:c r="E141" s="35" t="str"/>
      <x:c r="F141" s="35" t="str">
        <x:v>REG_DT</x:v>
      </x:c>
      <x:c r="G141" s="35" t="str">
        <x:v>컬럼 추가</x:v>
      </x:c>
      <x:c r="H141" s="35" t="str">
        <x:v>SYS_ACHV_STNG.REG_DT 필드를 Entity/DTO/입력·조회 SQL에 반영하고 기존 데이터 채움 정책 확인</x:v>
      </x:c>
      <x:c r="I141" s="35" t="str">
        <x:v>미착수</x:v>
      </x:c>
      <x:c r="J141" s="35" t="str"/>
      <x:c r="K141" s="36" t="str"/>
      <x:c r="L141" s="35" t="str"/>
    </x:row>
    <x:row r="142">
      <x:c r="A142" s="35" t="n">
        <x:v>138</x:v>
      </x:c>
      <x:c r="B142" s="35" t="str">
        <x:v>P2</x:v>
      </x:c>
      <x:c r="C142" s="35" t="str"/>
      <x:c r="D142" s="35" t="str">
        <x:v>SYS_ACHV_STNG</x:v>
      </x:c>
      <x:c r="E142" s="35" t="str"/>
      <x:c r="F142" s="35" t="str">
        <x:v>MDFR_ID</x:v>
      </x:c>
      <x:c r="G142" s="35" t="str">
        <x:v>컬럼 추가</x:v>
      </x:c>
      <x:c r="H142" s="35" t="str">
        <x:v>SYS_ACHV_STNG.MDFR_ID 필드를 Entity/DTO/입력·조회 SQL에 반영하고 기존 데이터 채움 정책 확인</x:v>
      </x:c>
      <x:c r="I142" s="35" t="str">
        <x:v>미착수</x:v>
      </x:c>
      <x:c r="J142" s="35" t="str"/>
      <x:c r="K142" s="36" t="str"/>
      <x:c r="L142" s="35" t="str"/>
    </x:row>
    <x:row r="143">
      <x:c r="A143" s="35" t="n">
        <x:v>139</x:v>
      </x:c>
      <x:c r="B143" s="35" t="str">
        <x:v>P2</x:v>
      </x:c>
      <x:c r="C143" s="35" t="str"/>
      <x:c r="D143" s="35" t="str">
        <x:v>SYS_ACHV_STNG</x:v>
      </x:c>
      <x:c r="E143" s="35" t="str"/>
      <x:c r="F143" s="35" t="str">
        <x:v>MDFCN_DT</x:v>
      </x:c>
      <x:c r="G143" s="35" t="str">
        <x:v>컬럼 추가</x:v>
      </x:c>
      <x:c r="H143" s="35" t="str">
        <x:v>SYS_ACHV_STNG.MDFCN_DT 필드를 Entity/DTO/입력·조회 SQL에 반영하고 기존 데이터 채움 정책 확인</x:v>
      </x:c>
      <x:c r="I143" s="35" t="str">
        <x:v>미착수</x:v>
      </x:c>
      <x:c r="J143" s="35" t="str"/>
      <x:c r="K143" s="36" t="str"/>
      <x:c r="L143" s="35" t="str"/>
    </x:row>
  </x:sheetData>
  <x:mergeCells>
    <x:mergeCell ref="A1:L1"/>
    <x:mergeCell ref="A2:L2"/>
  </x:mergeCells>
  <x:conditionalFormatting sqref="B5:B143">
    <x:cfRule type="containsText" dxfId="9" priority="1" operator="containsText" text="P1"/>
  </x:conditionalFormatting>
  <x:conditionalFormatting sqref="I5:I143">
    <x:cfRule type="containsText" dxfId="10" priority="2" operator="containsText" text="완료"/>
  </x:conditionalFormatting>
  <x:dataValidations count="1">
    <x:dataValidation type="list" sqref="I5:I143">
      <x:formula1>"미착수,진행중,완료,보류"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794b4b9c5547d1"/>
  </x:tableParts>
</x:worksheet>
</file>